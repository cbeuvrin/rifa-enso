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ano.santana\Downloads\"/>
    </mc:Choice>
  </mc:AlternateContent>
  <xr:revisionPtr revIDLastSave="0" documentId="13_ncr:1_{593103B7-78E0-4951-84A4-D8174461B007}" xr6:coauthVersionLast="47" xr6:coauthVersionMax="47" xr10:uidLastSave="{00000000-0000-0000-0000-000000000000}"/>
  <bookViews>
    <workbookView xWindow="-110" yWindow="-110" windowWidth="19420" windowHeight="11500" xr2:uid="{AE12F6C8-8DEF-4022-B500-DD0EC60CFABC}"/>
  </bookViews>
  <sheets>
    <sheet name="LISTADO FINAL" sheetId="1" r:id="rId1"/>
  </sheets>
  <definedNames>
    <definedName name="_xlnm._FilterDatabase" localSheetId="0" hidden="1">'LISTADO FINAL'!$A$2:$G$1186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G1177" i="1" l="1"/>
  <c r="G1165" i="1"/>
  <c r="G1153" i="1"/>
  <c r="G1141" i="1"/>
  <c r="G1129" i="1"/>
  <c r="G1117" i="1"/>
  <c r="G1105" i="1"/>
  <c r="G1093" i="1"/>
  <c r="G1081" i="1"/>
  <c r="G1069" i="1"/>
  <c r="G1057" i="1"/>
  <c r="G1045" i="1"/>
  <c r="G1033" i="1"/>
  <c r="G1021" i="1"/>
  <c r="G1009" i="1"/>
  <c r="G997" i="1"/>
  <c r="G985" i="1"/>
  <c r="G973" i="1"/>
  <c r="G961" i="1"/>
  <c r="G949" i="1"/>
  <c r="G937" i="1"/>
  <c r="G925" i="1"/>
  <c r="G913" i="1"/>
  <c r="G901" i="1"/>
  <c r="G889" i="1"/>
  <c r="G877" i="1"/>
  <c r="G865" i="1"/>
  <c r="G853" i="1"/>
  <c r="G841" i="1"/>
  <c r="G829" i="1"/>
  <c r="G817" i="1"/>
  <c r="G805" i="1"/>
  <c r="G793" i="1"/>
  <c r="G781" i="1"/>
  <c r="G769" i="1"/>
  <c r="G757" i="1"/>
  <c r="G745" i="1"/>
  <c r="G733" i="1"/>
  <c r="G721" i="1"/>
  <c r="G709" i="1"/>
  <c r="G697" i="1"/>
  <c r="G685" i="1"/>
  <c r="G673" i="1"/>
  <c r="G661" i="1"/>
  <c r="G649" i="1"/>
  <c r="G637" i="1"/>
  <c r="G625" i="1"/>
  <c r="G613" i="1"/>
  <c r="G601" i="1"/>
  <c r="G589" i="1"/>
  <c r="G577" i="1"/>
  <c r="G565" i="1"/>
  <c r="G553" i="1"/>
  <c r="G541" i="1"/>
  <c r="G529" i="1"/>
  <c r="G517" i="1"/>
  <c r="G505" i="1"/>
  <c r="G493" i="1"/>
  <c r="G481" i="1"/>
  <c r="G469" i="1"/>
  <c r="G457" i="1"/>
  <c r="G445" i="1"/>
  <c r="G433" i="1"/>
  <c r="G421" i="1"/>
  <c r="G409" i="1"/>
  <c r="G397" i="1"/>
  <c r="G385" i="1"/>
  <c r="G373" i="1"/>
  <c r="G361" i="1"/>
  <c r="G349" i="1"/>
  <c r="G337" i="1"/>
  <c r="G325" i="1"/>
  <c r="G313" i="1"/>
  <c r="G301" i="1"/>
  <c r="G289" i="1"/>
  <c r="G277" i="1"/>
  <c r="G265" i="1"/>
  <c r="G253" i="1"/>
  <c r="G241" i="1"/>
  <c r="G229" i="1"/>
  <c r="G217" i="1"/>
  <c r="G205" i="1"/>
  <c r="G193" i="1"/>
  <c r="G181" i="1"/>
  <c r="G169" i="1"/>
  <c r="G1185" i="1"/>
  <c r="G1172" i="1"/>
  <c r="G1159" i="1"/>
  <c r="G1146" i="1"/>
  <c r="G1133" i="1"/>
  <c r="G1120" i="1"/>
  <c r="G1107" i="1"/>
  <c r="G1094" i="1"/>
  <c r="G1080" i="1"/>
  <c r="G1067" i="1"/>
  <c r="G1054" i="1"/>
  <c r="G1041" i="1"/>
  <c r="G1028" i="1"/>
  <c r="G1015" i="1"/>
  <c r="G1002" i="1"/>
  <c r="G989" i="1"/>
  <c r="G976" i="1"/>
  <c r="G963" i="1"/>
  <c r="G950" i="1"/>
  <c r="G936" i="1"/>
  <c r="G923" i="1"/>
  <c r="G910" i="1"/>
  <c r="G897" i="1"/>
  <c r="G884" i="1"/>
  <c r="G871" i="1"/>
  <c r="G858" i="1"/>
  <c r="G845" i="1"/>
  <c r="G832" i="1"/>
  <c r="G819" i="1"/>
  <c r="G806" i="1"/>
  <c r="G792" i="1"/>
  <c r="G779" i="1"/>
  <c r="G766" i="1"/>
  <c r="G753" i="1"/>
  <c r="G740" i="1"/>
  <c r="G727" i="1"/>
  <c r="G714" i="1"/>
  <c r="G701" i="1"/>
  <c r="G688" i="1"/>
  <c r="G675" i="1"/>
  <c r="G662" i="1"/>
  <c r="G648" i="1"/>
  <c r="G635" i="1"/>
  <c r="G622" i="1"/>
  <c r="G609" i="1"/>
  <c r="G596" i="1"/>
  <c r="G583" i="1"/>
  <c r="G570" i="1"/>
  <c r="G557" i="1"/>
  <c r="G544" i="1"/>
  <c r="G531" i="1"/>
  <c r="G518" i="1"/>
  <c r="G504" i="1"/>
  <c r="G491" i="1"/>
  <c r="G478" i="1"/>
  <c r="G465" i="1"/>
  <c r="G452" i="1"/>
  <c r="G439" i="1"/>
  <c r="G426" i="1"/>
  <c r="G413" i="1"/>
  <c r="G400" i="1"/>
  <c r="G387" i="1"/>
  <c r="G374" i="1"/>
  <c r="G360" i="1"/>
  <c r="G347" i="1"/>
  <c r="G334" i="1"/>
  <c r="G321" i="1"/>
  <c r="G308" i="1"/>
  <c r="G295" i="1"/>
  <c r="G282" i="1"/>
  <c r="G269" i="1"/>
  <c r="G256" i="1"/>
  <c r="G243" i="1"/>
  <c r="G230" i="1"/>
  <c r="G216" i="1"/>
  <c r="G203" i="1"/>
  <c r="G190" i="1"/>
  <c r="G177" i="1"/>
  <c r="G164" i="1"/>
  <c r="G152" i="1"/>
  <c r="G140" i="1"/>
  <c r="G128" i="1"/>
  <c r="G116" i="1"/>
  <c r="G104" i="1"/>
  <c r="G92" i="1"/>
  <c r="G1184" i="1"/>
  <c r="G1170" i="1"/>
  <c r="G1156" i="1"/>
  <c r="G1142" i="1"/>
  <c r="G1127" i="1"/>
  <c r="G1113" i="1"/>
  <c r="G1099" i="1"/>
  <c r="G1085" i="1"/>
  <c r="G1071" i="1"/>
  <c r="G1056" i="1"/>
  <c r="G1042" i="1"/>
  <c r="G1027" i="1"/>
  <c r="G1013" i="1"/>
  <c r="G999" i="1"/>
  <c r="G984" i="1"/>
  <c r="G970" i="1"/>
  <c r="G956" i="1"/>
  <c r="G942" i="1"/>
  <c r="G928" i="1"/>
  <c r="G914" i="1"/>
  <c r="G899" i="1"/>
  <c r="G885" i="1"/>
  <c r="G870" i="1"/>
  <c r="G856" i="1"/>
  <c r="G842" i="1"/>
  <c r="G827" i="1"/>
  <c r="G813" i="1"/>
  <c r="G799" i="1"/>
  <c r="G785" i="1"/>
  <c r="G771" i="1"/>
  <c r="G756" i="1"/>
  <c r="G742" i="1"/>
  <c r="G728" i="1"/>
  <c r="G713" i="1"/>
  <c r="G699" i="1"/>
  <c r="G684" i="1"/>
  <c r="G670" i="1"/>
  <c r="G656" i="1"/>
  <c r="G642" i="1"/>
  <c r="G628" i="1"/>
  <c r="G614" i="1"/>
  <c r="G599" i="1"/>
  <c r="G585" i="1"/>
  <c r="G571" i="1"/>
  <c r="G556" i="1"/>
  <c r="G542" i="1"/>
  <c r="G527" i="1"/>
  <c r="G513" i="1"/>
  <c r="G499" i="1"/>
  <c r="G485" i="1"/>
  <c r="G471" i="1"/>
  <c r="G456" i="1"/>
  <c r="G442" i="1"/>
  <c r="G428" i="1"/>
  <c r="G414" i="1"/>
  <c r="G399" i="1"/>
  <c r="G384" i="1"/>
  <c r="G370" i="1"/>
  <c r="G356" i="1"/>
  <c r="G342" i="1"/>
  <c r="G328" i="1"/>
  <c r="G314" i="1"/>
  <c r="G299" i="1"/>
  <c r="G285" i="1"/>
  <c r="G271" i="1"/>
  <c r="G257" i="1"/>
  <c r="G242" i="1"/>
  <c r="G227" i="1"/>
  <c r="G213" i="1"/>
  <c r="G199" i="1"/>
  <c r="G185" i="1"/>
  <c r="G171" i="1"/>
  <c r="G157" i="1"/>
  <c r="G144" i="1"/>
  <c r="G131" i="1"/>
  <c r="G118" i="1"/>
  <c r="G105" i="1"/>
  <c r="G91" i="1"/>
  <c r="G79" i="1"/>
  <c r="G67" i="1"/>
  <c r="G55" i="1"/>
  <c r="G43" i="1"/>
  <c r="G31" i="1"/>
  <c r="G19" i="1"/>
  <c r="G7" i="1"/>
  <c r="G1183" i="1"/>
  <c r="G1169" i="1"/>
  <c r="G1155" i="1"/>
  <c r="G1140" i="1"/>
  <c r="G1126" i="1"/>
  <c r="G1112" i="1"/>
  <c r="G1098" i="1"/>
  <c r="G1084" i="1"/>
  <c r="G1070" i="1"/>
  <c r="G1055" i="1"/>
  <c r="G1040" i="1"/>
  <c r="G1026" i="1"/>
  <c r="G1012" i="1"/>
  <c r="G998" i="1"/>
  <c r="G983" i="1"/>
  <c r="G969" i="1"/>
  <c r="G955" i="1"/>
  <c r="G941" i="1"/>
  <c r="G927" i="1"/>
  <c r="G912" i="1"/>
  <c r="G898" i="1"/>
  <c r="G883" i="1"/>
  <c r="G869" i="1"/>
  <c r="G855" i="1"/>
  <c r="G840" i="1"/>
  <c r="G826" i="1"/>
  <c r="G812" i="1"/>
  <c r="G798" i="1"/>
  <c r="G784" i="1"/>
  <c r="G770" i="1"/>
  <c r="G755" i="1"/>
  <c r="G741" i="1"/>
  <c r="G726" i="1"/>
  <c r="G712" i="1"/>
  <c r="G698" i="1"/>
  <c r="G683" i="1"/>
  <c r="G669" i="1"/>
  <c r="G655" i="1"/>
  <c r="G641" i="1"/>
  <c r="G627" i="1"/>
  <c r="G612" i="1"/>
  <c r="G598" i="1"/>
  <c r="G584" i="1"/>
  <c r="G569" i="1"/>
  <c r="G555" i="1"/>
  <c r="G540" i="1"/>
  <c r="G526" i="1"/>
  <c r="G512" i="1"/>
  <c r="G498" i="1"/>
  <c r="G484" i="1"/>
  <c r="G1175" i="1"/>
  <c r="G1161" i="1"/>
  <c r="G1147" i="1"/>
  <c r="G1132" i="1"/>
  <c r="G1118" i="1"/>
  <c r="G1103" i="1"/>
  <c r="G1089" i="1"/>
  <c r="G1075" i="1"/>
  <c r="G1061" i="1"/>
  <c r="G1047" i="1"/>
  <c r="G1032" i="1"/>
  <c r="G1018" i="1"/>
  <c r="G1004" i="1"/>
  <c r="G990" i="1"/>
  <c r="G975" i="1"/>
  <c r="G960" i="1"/>
  <c r="G946" i="1"/>
  <c r="G932" i="1"/>
  <c r="G918" i="1"/>
  <c r="G904" i="1"/>
  <c r="G890" i="1"/>
  <c r="G875" i="1"/>
  <c r="G861" i="1"/>
  <c r="G847" i="1"/>
  <c r="G833" i="1"/>
  <c r="G818" i="1"/>
  <c r="G803" i="1"/>
  <c r="G789" i="1"/>
  <c r="G775" i="1"/>
  <c r="G761" i="1"/>
  <c r="G747" i="1"/>
  <c r="G732" i="1"/>
  <c r="G718" i="1"/>
  <c r="G704" i="1"/>
  <c r="G690" i="1"/>
  <c r="G676" i="1"/>
  <c r="G660" i="1"/>
  <c r="G646" i="1"/>
  <c r="G632" i="1"/>
  <c r="G618" i="1"/>
  <c r="G604" i="1"/>
  <c r="G590" i="1"/>
  <c r="G575" i="1"/>
  <c r="G561" i="1"/>
  <c r="G547" i="1"/>
  <c r="G533" i="1"/>
  <c r="G519" i="1"/>
  <c r="G503" i="1"/>
  <c r="G489" i="1"/>
  <c r="G475" i="1"/>
  <c r="G461" i="1"/>
  <c r="G447" i="1"/>
  <c r="G432" i="1"/>
  <c r="G418" i="1"/>
  <c r="G404" i="1"/>
  <c r="G390" i="1"/>
  <c r="G376" i="1"/>
  <c r="G362" i="1"/>
  <c r="G346" i="1"/>
  <c r="G332" i="1"/>
  <c r="G318" i="1"/>
  <c r="G304" i="1"/>
  <c r="G290" i="1"/>
  <c r="G275" i="1"/>
  <c r="G261" i="1"/>
  <c r="G247" i="1"/>
  <c r="G233" i="1"/>
  <c r="G219" i="1"/>
  <c r="G204" i="1"/>
  <c r="G189" i="1"/>
  <c r="G175" i="1"/>
  <c r="G161" i="1"/>
  <c r="G148" i="1"/>
  <c r="G135" i="1"/>
  <c r="G122" i="1"/>
  <c r="G109" i="1"/>
  <c r="G96" i="1"/>
  <c r="G83" i="1"/>
  <c r="G71" i="1"/>
  <c r="G59" i="1"/>
  <c r="G47" i="1"/>
  <c r="G35" i="1"/>
  <c r="G23" i="1"/>
  <c r="G11" i="1"/>
  <c r="G1174" i="1"/>
  <c r="G1160" i="1"/>
  <c r="G1145" i="1"/>
  <c r="G1131" i="1"/>
  <c r="G1116" i="1"/>
  <c r="G1102" i="1"/>
  <c r="G1088" i="1"/>
  <c r="G1074" i="1"/>
  <c r="G1060" i="1"/>
  <c r="G1046" i="1"/>
  <c r="G1031" i="1"/>
  <c r="G1017" i="1"/>
  <c r="G1003" i="1"/>
  <c r="G988" i="1"/>
  <c r="G974" i="1"/>
  <c r="G959" i="1"/>
  <c r="G945" i="1"/>
  <c r="G931" i="1"/>
  <c r="G917" i="1"/>
  <c r="G903" i="1"/>
  <c r="G888" i="1"/>
  <c r="G874" i="1"/>
  <c r="G860" i="1"/>
  <c r="G846" i="1"/>
  <c r="G831" i="1"/>
  <c r="G816" i="1"/>
  <c r="G802" i="1"/>
  <c r="G788" i="1"/>
  <c r="G774" i="1"/>
  <c r="G760" i="1"/>
  <c r="G746" i="1"/>
  <c r="G731" i="1"/>
  <c r="G717" i="1"/>
  <c r="G703" i="1"/>
  <c r="G689" i="1"/>
  <c r="G674" i="1"/>
  <c r="G659" i="1"/>
  <c r="G645" i="1"/>
  <c r="G631" i="1"/>
  <c r="G617" i="1"/>
  <c r="G603" i="1"/>
  <c r="G588" i="1"/>
  <c r="G574" i="1"/>
  <c r="G560" i="1"/>
  <c r="G546" i="1"/>
  <c r="G532" i="1"/>
  <c r="G516" i="1"/>
  <c r="G502" i="1"/>
  <c r="G488" i="1"/>
  <c r="G474" i="1"/>
  <c r="G460" i="1"/>
  <c r="G446" i="1"/>
  <c r="G431" i="1"/>
  <c r="G417" i="1"/>
  <c r="G403" i="1"/>
  <c r="G389" i="1"/>
  <c r="G375" i="1"/>
  <c r="G359" i="1"/>
  <c r="G345" i="1"/>
  <c r="G331" i="1"/>
  <c r="G317" i="1"/>
  <c r="G303" i="1"/>
  <c r="G288" i="1"/>
  <c r="G274" i="1"/>
  <c r="G260" i="1"/>
  <c r="G246" i="1"/>
  <c r="G232" i="1"/>
  <c r="G218" i="1"/>
  <c r="G202" i="1"/>
  <c r="G188" i="1"/>
  <c r="G174" i="1"/>
  <c r="G160" i="1"/>
  <c r="G147" i="1"/>
  <c r="G134" i="1"/>
  <c r="G121" i="1"/>
  <c r="G108" i="1"/>
  <c r="G95" i="1"/>
  <c r="G82" i="1"/>
  <c r="G70" i="1"/>
  <c r="G58" i="1"/>
  <c r="G46" i="1"/>
  <c r="G34" i="1"/>
  <c r="G22" i="1"/>
  <c r="G10" i="1"/>
  <c r="G1173" i="1"/>
  <c r="G1158" i="1"/>
  <c r="G1186" i="1"/>
  <c r="G1181" i="1"/>
  <c r="G1157" i="1"/>
  <c r="G1136" i="1"/>
  <c r="G1114" i="1"/>
  <c r="G1092" i="1"/>
  <c r="G1072" i="1"/>
  <c r="G1050" i="1"/>
  <c r="G1029" i="1"/>
  <c r="G1007" i="1"/>
  <c r="G986" i="1"/>
  <c r="G965" i="1"/>
  <c r="G943" i="1"/>
  <c r="G921" i="1"/>
  <c r="G900" i="1"/>
  <c r="G879" i="1"/>
  <c r="G857" i="1"/>
  <c r="G836" i="1"/>
  <c r="G814" i="1"/>
  <c r="G794" i="1"/>
  <c r="G772" i="1"/>
  <c r="G750" i="1"/>
  <c r="G729" i="1"/>
  <c r="G707" i="1"/>
  <c r="G686" i="1"/>
  <c r="G665" i="1"/>
  <c r="G643" i="1"/>
  <c r="G621" i="1"/>
  <c r="G600" i="1"/>
  <c r="G579" i="1"/>
  <c r="G558" i="1"/>
  <c r="G536" i="1"/>
  <c r="G514" i="1"/>
  <c r="G494" i="1"/>
  <c r="G472" i="1"/>
  <c r="G453" i="1"/>
  <c r="G435" i="1"/>
  <c r="G415" i="1"/>
  <c r="G395" i="1"/>
  <c r="G378" i="1"/>
  <c r="G357" i="1"/>
  <c r="G339" i="1"/>
  <c r="G320" i="1"/>
  <c r="G300" i="1"/>
  <c r="G281" i="1"/>
  <c r="G263" i="1"/>
  <c r="G244" i="1"/>
  <c r="G224" i="1"/>
  <c r="G207" i="1"/>
  <c r="G186" i="1"/>
  <c r="G167" i="1"/>
  <c r="G150" i="1"/>
  <c r="G132" i="1"/>
  <c r="G114" i="1"/>
  <c r="G98" i="1"/>
  <c r="G80" i="1"/>
  <c r="G64" i="1"/>
  <c r="G49" i="1"/>
  <c r="G32" i="1"/>
  <c r="G16" i="1"/>
  <c r="G1154" i="1"/>
  <c r="G920" i="1"/>
  <c r="G768" i="1"/>
  <c r="G597" i="1"/>
  <c r="G412" i="1"/>
  <c r="G223" i="1"/>
  <c r="G30" i="1"/>
  <c r="G1152" i="1"/>
  <c r="G1134" i="1"/>
  <c r="G1110" i="1"/>
  <c r="G1090" i="1"/>
  <c r="G1066" i="1"/>
  <c r="G1048" i="1"/>
  <c r="G1024" i="1"/>
  <c r="G1005" i="1"/>
  <c r="G981" i="1"/>
  <c r="G962" i="1"/>
  <c r="G939" i="1"/>
  <c r="G919" i="1"/>
  <c r="G895" i="1"/>
  <c r="G876" i="1"/>
  <c r="G852" i="1"/>
  <c r="G834" i="1"/>
  <c r="G810" i="1"/>
  <c r="G790" i="1"/>
  <c r="G767" i="1"/>
  <c r="G1180" i="1"/>
  <c r="G1135" i="1"/>
  <c r="G1111" i="1"/>
  <c r="G1091" i="1"/>
  <c r="G1068" i="1"/>
  <c r="G1049" i="1"/>
  <c r="G1025" i="1"/>
  <c r="G1006" i="1"/>
  <c r="G982" i="1"/>
  <c r="G964" i="1"/>
  <c r="G940" i="1"/>
  <c r="G896" i="1"/>
  <c r="G878" i="1"/>
  <c r="G854" i="1"/>
  <c r="G835" i="1"/>
  <c r="G811" i="1"/>
  <c r="G791" i="1"/>
  <c r="G749" i="1"/>
  <c r="G725" i="1"/>
  <c r="G706" i="1"/>
  <c r="G682" i="1"/>
  <c r="G664" i="1"/>
  <c r="G640" i="1"/>
  <c r="G620" i="1"/>
  <c r="G578" i="1"/>
  <c r="G554" i="1"/>
  <c r="G535" i="1"/>
  <c r="G511" i="1"/>
  <c r="G492" i="1"/>
  <c r="G470" i="1"/>
  <c r="G451" i="1"/>
  <c r="G434" i="1"/>
  <c r="G394" i="1"/>
  <c r="G377" i="1"/>
  <c r="G355" i="1"/>
  <c r="G338" i="1"/>
  <c r="G319" i="1"/>
  <c r="G298" i="1"/>
  <c r="G280" i="1"/>
  <c r="G262" i="1"/>
  <c r="G240" i="1"/>
  <c r="G206" i="1"/>
  <c r="G184" i="1"/>
  <c r="G166" i="1"/>
  <c r="G149" i="1"/>
  <c r="G130" i="1"/>
  <c r="G113" i="1"/>
  <c r="G97" i="1"/>
  <c r="G78" i="1"/>
  <c r="G63" i="1"/>
  <c r="G48" i="1"/>
  <c r="G15" i="1"/>
  <c r="G1179" i="1"/>
  <c r="G1176" i="1"/>
  <c r="G1144" i="1"/>
  <c r="G1119" i="1"/>
  <c r="G1086" i="1"/>
  <c r="G1059" i="1"/>
  <c r="G1034" i="1"/>
  <c r="G1000" i="1"/>
  <c r="G972" i="1"/>
  <c r="G947" i="1"/>
  <c r="G915" i="1"/>
  <c r="G887" i="1"/>
  <c r="G862" i="1"/>
  <c r="G828" i="1"/>
  <c r="G801" i="1"/>
  <c r="G776" i="1"/>
  <c r="G744" i="1"/>
  <c r="G720" i="1"/>
  <c r="G694" i="1"/>
  <c r="G668" i="1"/>
  <c r="G644" i="1"/>
  <c r="G616" i="1"/>
  <c r="G592" i="1"/>
  <c r="G566" i="1"/>
  <c r="G539" i="1"/>
  <c r="G515" i="1"/>
  <c r="G487" i="1"/>
  <c r="G464" i="1"/>
  <c r="G441" i="1"/>
  <c r="G420" i="1"/>
  <c r="G396" i="1"/>
  <c r="G371" i="1"/>
  <c r="G351" i="1"/>
  <c r="G327" i="1"/>
  <c r="G306" i="1"/>
  <c r="G283" i="1"/>
  <c r="G258" i="1"/>
  <c r="G236" i="1"/>
  <c r="G212" i="1"/>
  <c r="G192" i="1"/>
  <c r="G168" i="1"/>
  <c r="G145" i="1"/>
  <c r="G125" i="1"/>
  <c r="G103" i="1"/>
  <c r="G85" i="1"/>
  <c r="G65" i="1"/>
  <c r="G44" i="1"/>
  <c r="G26" i="1"/>
  <c r="G6" i="1"/>
  <c r="G1171" i="1"/>
  <c r="G1143" i="1"/>
  <c r="G1115" i="1"/>
  <c r="G1083" i="1"/>
  <c r="G1058" i="1"/>
  <c r="G1030" i="1"/>
  <c r="G996" i="1"/>
  <c r="G971" i="1"/>
  <c r="G944" i="1"/>
  <c r="G911" i="1"/>
  <c r="G886" i="1"/>
  <c r="G859" i="1"/>
  <c r="G825" i="1"/>
  <c r="G800" i="1"/>
  <c r="G773" i="1"/>
  <c r="G743" i="1"/>
  <c r="G719" i="1"/>
  <c r="G693" i="1"/>
  <c r="G667" i="1"/>
  <c r="G639" i="1"/>
  <c r="G615" i="1"/>
  <c r="G591" i="1"/>
  <c r="G564" i="1"/>
  <c r="G538" i="1"/>
  <c r="G510" i="1"/>
  <c r="G486" i="1"/>
  <c r="G463" i="1"/>
  <c r="G440" i="1"/>
  <c r="G419" i="1"/>
  <c r="G393" i="1"/>
  <c r="G369" i="1"/>
  <c r="G350" i="1"/>
  <c r="G326" i="1"/>
  <c r="G305" i="1"/>
  <c r="G279" i="1"/>
  <c r="G255" i="1"/>
  <c r="G235" i="1"/>
  <c r="G211" i="1"/>
  <c r="G191" i="1"/>
  <c r="G165" i="1"/>
  <c r="G143" i="1"/>
  <c r="G124" i="1"/>
  <c r="G102" i="1"/>
  <c r="G84" i="1"/>
  <c r="G62" i="1"/>
  <c r="G42" i="1"/>
  <c r="G25" i="1"/>
  <c r="G5" i="1"/>
  <c r="G1168" i="1"/>
  <c r="G1139" i="1"/>
  <c r="G1109" i="1"/>
  <c r="G1082" i="1"/>
  <c r="G1053" i="1"/>
  <c r="G1023" i="1"/>
  <c r="G995" i="1"/>
  <c r="G968" i="1"/>
  <c r="G938" i="1"/>
  <c r="G909" i="1"/>
  <c r="G882" i="1"/>
  <c r="G851" i="1"/>
  <c r="G824" i="1"/>
  <c r="G797" i="1"/>
  <c r="G765" i="1"/>
  <c r="G739" i="1"/>
  <c r="G716" i="1"/>
  <c r="G692" i="1"/>
  <c r="G666" i="1"/>
  <c r="G638" i="1"/>
  <c r="G611" i="1"/>
  <c r="G587" i="1"/>
  <c r="G563" i="1"/>
  <c r="G537" i="1"/>
  <c r="G509" i="1"/>
  <c r="G483" i="1"/>
  <c r="G462" i="1"/>
  <c r="G438" i="1"/>
  <c r="G416" i="1"/>
  <c r="G392" i="1"/>
  <c r="G368" i="1"/>
  <c r="G348" i="1"/>
  <c r="G324" i="1"/>
  <c r="G302" i="1"/>
  <c r="G278" i="1"/>
  <c r="G254" i="1"/>
  <c r="G234" i="1"/>
  <c r="G210" i="1"/>
  <c r="G187" i="1"/>
  <c r="G163" i="1"/>
  <c r="G142" i="1"/>
  <c r="G123" i="1"/>
  <c r="G101" i="1"/>
  <c r="G81" i="1"/>
  <c r="G61" i="1"/>
  <c r="G41" i="1"/>
  <c r="G24" i="1"/>
  <c r="G1167" i="1"/>
  <c r="G1138" i="1"/>
  <c r="G1108" i="1"/>
  <c r="G1079" i="1"/>
  <c r="G1052" i="1"/>
  <c r="G1022" i="1"/>
  <c r="G994" i="1"/>
  <c r="G967" i="1"/>
  <c r="G935" i="1"/>
  <c r="G908" i="1"/>
  <c r="G881" i="1"/>
  <c r="G850" i="1"/>
  <c r="G823" i="1"/>
  <c r="G796" i="1"/>
  <c r="G764" i="1"/>
  <c r="G738" i="1"/>
  <c r="G715" i="1"/>
  <c r="G691" i="1"/>
  <c r="G663" i="1"/>
  <c r="G636" i="1"/>
  <c r="G610" i="1"/>
  <c r="G586" i="1"/>
  <c r="G562" i="1"/>
  <c r="G534" i="1"/>
  <c r="G508" i="1"/>
  <c r="G482" i="1"/>
  <c r="G459" i="1"/>
  <c r="G1178" i="1"/>
  <c r="G1125" i="1"/>
  <c r="G1087" i="1"/>
  <c r="G1039" i="1"/>
  <c r="G1001" i="1"/>
  <c r="G954" i="1"/>
  <c r="G916" i="1"/>
  <c r="G868" i="1"/>
  <c r="G830" i="1"/>
  <c r="G783" i="1"/>
  <c r="G748" i="1"/>
  <c r="G705" i="1"/>
  <c r="G671" i="1"/>
  <c r="G629" i="1"/>
  <c r="G593" i="1"/>
  <c r="G550" i="1"/>
  <c r="G520" i="1"/>
  <c r="G476" i="1"/>
  <c r="G443" i="1"/>
  <c r="G408" i="1"/>
  <c r="G381" i="1"/>
  <c r="G352" i="1"/>
  <c r="G316" i="1"/>
  <c r="G291" i="1"/>
  <c r="G259" i="1"/>
  <c r="G226" i="1"/>
  <c r="G197" i="1"/>
  <c r="G170" i="1"/>
  <c r="G138" i="1"/>
  <c r="G111" i="1"/>
  <c r="G86" i="1"/>
  <c r="G56" i="1"/>
  <c r="G33" i="1"/>
  <c r="G8" i="1"/>
  <c r="G1128" i="1"/>
  <c r="G837" i="1"/>
  <c r="G594" i="1"/>
  <c r="G410" i="1"/>
  <c r="G228" i="1"/>
  <c r="G9" i="1"/>
  <c r="G1166" i="1"/>
  <c r="G1124" i="1"/>
  <c r="G1078" i="1"/>
  <c r="G1038" i="1"/>
  <c r="G993" i="1"/>
  <c r="G953" i="1"/>
  <c r="G907" i="1"/>
  <c r="G867" i="1"/>
  <c r="G822" i="1"/>
  <c r="G782" i="1"/>
  <c r="G737" i="1"/>
  <c r="G702" i="1"/>
  <c r="G658" i="1"/>
  <c r="G626" i="1"/>
  <c r="G582" i="1"/>
  <c r="G549" i="1"/>
  <c r="G507" i="1"/>
  <c r="G473" i="1"/>
  <c r="G437" i="1"/>
  <c r="G407" i="1"/>
  <c r="G380" i="1"/>
  <c r="G344" i="1"/>
  <c r="G315" i="1"/>
  <c r="G287" i="1"/>
  <c r="G252" i="1"/>
  <c r="G225" i="1"/>
  <c r="G196" i="1"/>
  <c r="G162" i="1"/>
  <c r="G137" i="1"/>
  <c r="G110" i="1"/>
  <c r="G77" i="1"/>
  <c r="G54" i="1"/>
  <c r="G29" i="1"/>
  <c r="G436" i="1"/>
  <c r="G343" i="1"/>
  <c r="G286" i="1"/>
  <c r="G251" i="1"/>
  <c r="G222" i="1"/>
  <c r="G159" i="1"/>
  <c r="G136" i="1"/>
  <c r="G107" i="1"/>
  <c r="G76" i="1"/>
  <c r="G53" i="1"/>
  <c r="G28" i="1"/>
  <c r="G1163" i="1"/>
  <c r="G1076" i="1"/>
  <c r="G1036" i="1"/>
  <c r="G991" i="1"/>
  <c r="G951" i="1"/>
  <c r="G905" i="1"/>
  <c r="G864" i="1"/>
  <c r="G820" i="1"/>
  <c r="G778" i="1"/>
  <c r="G735" i="1"/>
  <c r="G696" i="1"/>
  <c r="G654" i="1"/>
  <c r="G623" i="1"/>
  <c r="G580" i="1"/>
  <c r="G545" i="1"/>
  <c r="G501" i="1"/>
  <c r="G467" i="1"/>
  <c r="G430" i="1"/>
  <c r="G405" i="1"/>
  <c r="G372" i="1"/>
  <c r="G311" i="1"/>
  <c r="G284" i="1"/>
  <c r="G250" i="1"/>
  <c r="G221" i="1"/>
  <c r="G194" i="1"/>
  <c r="G158" i="1"/>
  <c r="G133" i="1"/>
  <c r="G106" i="1"/>
  <c r="G52" i="1"/>
  <c r="G27" i="1"/>
  <c r="G1162" i="1"/>
  <c r="G1073" i="1"/>
  <c r="G1035" i="1"/>
  <c r="G987" i="1"/>
  <c r="G948" i="1"/>
  <c r="G902" i="1"/>
  <c r="G863" i="1"/>
  <c r="G815" i="1"/>
  <c r="G734" i="1"/>
  <c r="G695" i="1"/>
  <c r="G653" i="1"/>
  <c r="G619" i="1"/>
  <c r="G576" i="1"/>
  <c r="G500" i="1"/>
  <c r="G466" i="1"/>
  <c r="G429" i="1"/>
  <c r="G402" i="1"/>
  <c r="G340" i="1"/>
  <c r="G310" i="1"/>
  <c r="G276" i="1"/>
  <c r="G249" i="1"/>
  <c r="G183" i="1"/>
  <c r="G156" i="1"/>
  <c r="G129" i="1"/>
  <c r="G100" i="1"/>
  <c r="G74" i="1"/>
  <c r="G51" i="1"/>
  <c r="G1151" i="1"/>
  <c r="G1065" i="1"/>
  <c r="G1020" i="1"/>
  <c r="G980" i="1"/>
  <c r="G934" i="1"/>
  <c r="G894" i="1"/>
  <c r="G849" i="1"/>
  <c r="G809" i="1"/>
  <c r="G763" i="1"/>
  <c r="G730" i="1"/>
  <c r="G687" i="1"/>
  <c r="G652" i="1"/>
  <c r="G573" i="1"/>
  <c r="G530" i="1"/>
  <c r="G497" i="1"/>
  <c r="G458" i="1"/>
  <c r="G427" i="1"/>
  <c r="G401" i="1"/>
  <c r="G366" i="1"/>
  <c r="G336" i="1"/>
  <c r="G273" i="1"/>
  <c r="G248" i="1"/>
  <c r="G215" i="1"/>
  <c r="G182" i="1"/>
  <c r="G155" i="1"/>
  <c r="G127" i="1"/>
  <c r="G99" i="1"/>
  <c r="G50" i="1"/>
  <c r="G20" i="1"/>
  <c r="G1150" i="1"/>
  <c r="G1064" i="1"/>
  <c r="G1019" i="1"/>
  <c r="G979" i="1"/>
  <c r="G933" i="1"/>
  <c r="G893" i="1"/>
  <c r="G848" i="1"/>
  <c r="G808" i="1"/>
  <c r="G762" i="1"/>
  <c r="G724" i="1"/>
  <c r="G681" i="1"/>
  <c r="G651" i="1"/>
  <c r="G607" i="1"/>
  <c r="G572" i="1"/>
  <c r="G528" i="1"/>
  <c r="G455" i="1"/>
  <c r="G425" i="1"/>
  <c r="G398" i="1"/>
  <c r="G365" i="1"/>
  <c r="G335" i="1"/>
  <c r="G307" i="1"/>
  <c r="G272" i="1"/>
  <c r="G245" i="1"/>
  <c r="G214" i="1"/>
  <c r="G180" i="1"/>
  <c r="G126" i="1"/>
  <c r="G94" i="1"/>
  <c r="G72" i="1"/>
  <c r="G45" i="1"/>
  <c r="G18" i="1"/>
  <c r="G1149" i="1"/>
  <c r="G1063" i="1"/>
  <c r="G1016" i="1"/>
  <c r="G978" i="1"/>
  <c r="G930" i="1"/>
  <c r="G892" i="1"/>
  <c r="G844" i="1"/>
  <c r="G807" i="1"/>
  <c r="G759" i="1"/>
  <c r="G723" i="1"/>
  <c r="G680" i="1"/>
  <c r="G650" i="1"/>
  <c r="G606" i="1"/>
  <c r="G568" i="1"/>
  <c r="G525" i="1"/>
  <c r="G495" i="1"/>
  <c r="G454" i="1"/>
  <c r="G424" i="1"/>
  <c r="G364" i="1"/>
  <c r="G333" i="1"/>
  <c r="G297" i="1"/>
  <c r="G270" i="1"/>
  <c r="G239" i="1"/>
  <c r="G209" i="1"/>
  <c r="G179" i="1"/>
  <c r="G153" i="1"/>
  <c r="G120" i="1"/>
  <c r="G93" i="1"/>
  <c r="G69" i="1"/>
  <c r="G40" i="1"/>
  <c r="G1148" i="1"/>
  <c r="G1062" i="1"/>
  <c r="G1014" i="1"/>
  <c r="G977" i="1"/>
  <c r="G929" i="1"/>
  <c r="G891" i="1"/>
  <c r="G843" i="1"/>
  <c r="G804" i="1"/>
  <c r="G758" i="1"/>
  <c r="G722" i="1"/>
  <c r="G679" i="1"/>
  <c r="G647" i="1"/>
  <c r="G605" i="1"/>
  <c r="G567" i="1"/>
  <c r="G524" i="1"/>
  <c r="G490" i="1"/>
  <c r="G450" i="1"/>
  <c r="G423" i="1"/>
  <c r="G388" i="1"/>
  <c r="G330" i="1"/>
  <c r="G296" i="1"/>
  <c r="G268" i="1"/>
  <c r="G238" i="1"/>
  <c r="G208" i="1"/>
  <c r="G178" i="1"/>
  <c r="G151" i="1"/>
  <c r="G119" i="1"/>
  <c r="G90" i="1"/>
  <c r="G68" i="1"/>
  <c r="G39" i="1"/>
  <c r="G14" i="1"/>
  <c r="G1137" i="1"/>
  <c r="G1051" i="1"/>
  <c r="G1011" i="1"/>
  <c r="G966" i="1"/>
  <c r="G926" i="1"/>
  <c r="G880" i="1"/>
  <c r="G839" i="1"/>
  <c r="G795" i="1"/>
  <c r="G754" i="1"/>
  <c r="G711" i="1"/>
  <c r="G678" i="1"/>
  <c r="G634" i="1"/>
  <c r="G602" i="1"/>
  <c r="G559" i="1"/>
  <c r="G523" i="1"/>
  <c r="G480" i="1"/>
  <c r="G422" i="1"/>
  <c r="G386" i="1"/>
  <c r="G358" i="1"/>
  <c r="G329" i="1"/>
  <c r="G294" i="1"/>
  <c r="G267" i="1"/>
  <c r="G237" i="1"/>
  <c r="G201" i="1"/>
  <c r="G176" i="1"/>
  <c r="G146" i="1"/>
  <c r="G89" i="1"/>
  <c r="G66" i="1"/>
  <c r="G38" i="1"/>
  <c r="G13" i="1"/>
  <c r="G1130" i="1"/>
  <c r="G1044" i="1"/>
  <c r="G1010" i="1"/>
  <c r="G958" i="1"/>
  <c r="G924" i="1"/>
  <c r="G873" i="1"/>
  <c r="G838" i="1"/>
  <c r="G787" i="1"/>
  <c r="G752" i="1"/>
  <c r="G710" i="1"/>
  <c r="G677" i="1"/>
  <c r="G633" i="1"/>
  <c r="G552" i="1"/>
  <c r="G522" i="1"/>
  <c r="G479" i="1"/>
  <c r="G448" i="1"/>
  <c r="G411" i="1"/>
  <c r="G383" i="1"/>
  <c r="G323" i="1"/>
  <c r="G293" i="1"/>
  <c r="G266" i="1"/>
  <c r="G231" i="1"/>
  <c r="G200" i="1"/>
  <c r="G141" i="1"/>
  <c r="G115" i="1"/>
  <c r="G88" i="1"/>
  <c r="G60" i="1"/>
  <c r="G37" i="1"/>
  <c r="G12" i="1"/>
  <c r="G1182" i="1"/>
  <c r="G1043" i="1"/>
  <c r="G1008" i="1"/>
  <c r="G922" i="1"/>
  <c r="G872" i="1"/>
  <c r="G751" i="1"/>
  <c r="G708" i="1"/>
  <c r="G672" i="1"/>
  <c r="G551" i="1"/>
  <c r="G521" i="1"/>
  <c r="G477" i="1"/>
  <c r="G382" i="1"/>
  <c r="G353" i="1"/>
  <c r="G322" i="1"/>
  <c r="G292" i="1"/>
  <c r="G198" i="1"/>
  <c r="G172" i="1"/>
  <c r="G139" i="1"/>
  <c r="G112" i="1"/>
  <c r="G87" i="1"/>
  <c r="G36" i="1"/>
  <c r="G1164" i="1"/>
  <c r="G1123" i="1"/>
  <c r="G1077" i="1"/>
  <c r="G1037" i="1"/>
  <c r="G992" i="1"/>
  <c r="G952" i="1"/>
  <c r="G906" i="1"/>
  <c r="G866" i="1"/>
  <c r="G821" i="1"/>
  <c r="G780" i="1"/>
  <c r="G736" i="1"/>
  <c r="G700" i="1"/>
  <c r="G657" i="1"/>
  <c r="G624" i="1"/>
  <c r="G581" i="1"/>
  <c r="G548" i="1"/>
  <c r="G506" i="1"/>
  <c r="G468" i="1"/>
  <c r="G406" i="1"/>
  <c r="G379" i="1"/>
  <c r="G312" i="1"/>
  <c r="G195" i="1"/>
  <c r="G1122" i="1"/>
  <c r="G341" i="1"/>
  <c r="G75" i="1"/>
  <c r="G1121" i="1"/>
  <c r="G777" i="1"/>
  <c r="G543" i="1"/>
  <c r="G367" i="1"/>
  <c r="G220" i="1"/>
  <c r="G21" i="1"/>
  <c r="G1106" i="1"/>
  <c r="G608" i="1"/>
  <c r="G309" i="1"/>
  <c r="G73" i="1"/>
  <c r="G1104" i="1"/>
  <c r="G496" i="1"/>
  <c r="G154" i="1"/>
  <c r="G1101" i="1"/>
  <c r="G391" i="1"/>
  <c r="G17" i="1"/>
  <c r="G1100" i="1"/>
  <c r="G363" i="1"/>
  <c r="G1097" i="1"/>
  <c r="G449" i="1"/>
  <c r="G117" i="1"/>
  <c r="G1096" i="1"/>
  <c r="G595" i="1"/>
  <c r="G354" i="1"/>
  <c r="G173" i="1"/>
  <c r="G1095" i="1"/>
  <c r="G957" i="1"/>
  <c r="G786" i="1"/>
  <c r="G630" i="1"/>
  <c r="G444" i="1"/>
  <c r="G264" i="1"/>
  <c r="G57" i="1"/>
  <c r="G3" i="1"/>
  <c r="G4" i="1"/>
</calcChain>
</file>

<file path=xl/sharedStrings.xml><?xml version="1.0" encoding="utf-8"?>
<sst xmlns="http://schemas.openxmlformats.org/spreadsheetml/2006/main" count="4745" uniqueCount="2931">
  <si>
    <t>NÚMERO DE COLABORADOR</t>
  </si>
  <si>
    <t>NOMBRE</t>
  </si>
  <si>
    <t>PUESTO</t>
  </si>
  <si>
    <t>DIRECCION</t>
  </si>
  <si>
    <t>CORREO</t>
  </si>
  <si>
    <t>JAVIER VALADEZ BENITEZ</t>
  </si>
  <si>
    <t>DIRECTOR GENERAL GRUPO FINANCIERO MULTIVA</t>
  </si>
  <si>
    <t>DIRECCION GENERAL GFM</t>
  </si>
  <si>
    <t>javier.valadez@multiva.com.mx</t>
  </si>
  <si>
    <t>AMALIA VIRGINIA LUGO ROSALES</t>
  </si>
  <si>
    <t>ASISTENTE DE DIRECCION GENERAL</t>
  </si>
  <si>
    <t>amalia.lugo@multiva.com.mx</t>
  </si>
  <si>
    <t>RAMIRO RICCI HERNANDEZ</t>
  </si>
  <si>
    <t>ASISTENTE</t>
  </si>
  <si>
    <t>sin correo</t>
  </si>
  <si>
    <t>FRANCISCO ALZUARTE DIAZ</t>
  </si>
  <si>
    <t>CHIEF OF STAFF</t>
  </si>
  <si>
    <t>CHIEF OF STAFF Y PROCESOS</t>
  </si>
  <si>
    <t>francisco.alzuarte@multiva.com.mx</t>
  </si>
  <si>
    <t>HECTOR DE LA ROSA ELIZALDE</t>
  </si>
  <si>
    <t>DIRECTOR DE RIESGO DE CREDITO</t>
  </si>
  <si>
    <t>hector.delarosa@multiva.com.mx</t>
  </si>
  <si>
    <t>GUILLERMO DE GUADALUPE COBIAN VALDIVIA</t>
  </si>
  <si>
    <t>DIRECTOR GOBIERNO CORPORATIVO</t>
  </si>
  <si>
    <t>DIRECCION GOBIERNO CORPORATIVO</t>
  </si>
  <si>
    <t>guillermo.cobian@multiva.com.mx</t>
  </si>
  <si>
    <t>LILIA MERCEDES MARTINEZ ALMARAZ</t>
  </si>
  <si>
    <t>SUBDIRECTORA GOBIERNO CORPORATIVO</t>
  </si>
  <si>
    <t>lilia.martinez@multiva.com.mx</t>
  </si>
  <si>
    <t>ERIKA GABRIELA FUENTES ESTRADA</t>
  </si>
  <si>
    <t>GERENTE GOBIERNO CORPORATIVO</t>
  </si>
  <si>
    <t>erika.fuentes@multiva.com.mx</t>
  </si>
  <si>
    <t>ELIZABETH PATLAN CASTAÑEDA</t>
  </si>
  <si>
    <t>ESPECIALISTA DE GOBIERNO CORPORATIVO</t>
  </si>
  <si>
    <t>elizabeth.patlan@multiva.com.mx</t>
  </si>
  <si>
    <t>JONATHAN ZAMUDIO ALVARADO</t>
  </si>
  <si>
    <t>DIRECTOR DE PREVENCION DE FRAUDES</t>
  </si>
  <si>
    <t>jonathan.zamudio@multiva.com.mx</t>
  </si>
  <si>
    <t>CESAR DE JESUS AVILA CALDERON</t>
  </si>
  <si>
    <t>COORDINADOR PLAN DE GESTION</t>
  </si>
  <si>
    <t>cesarj.avila@multiva.com.mx</t>
  </si>
  <si>
    <t>CLAUDIA ERIKA RAMIREZ MARISCAL</t>
  </si>
  <si>
    <t>ESPECIALISTA PLAN DE GESTION</t>
  </si>
  <si>
    <t>claudia.ramirez@multiva.com.mx</t>
  </si>
  <si>
    <t>ROSA LINDA SORIANO HERNANDEZ</t>
  </si>
  <si>
    <t>rosa.soriano@multiva.com.mx</t>
  </si>
  <si>
    <t>FRANCISCO JAVIER AUSTRIA VIEYRA</t>
  </si>
  <si>
    <t>GERENTE PREVENCION DE FRAUDES</t>
  </si>
  <si>
    <t>francisco.austria@multiva.com.mx</t>
  </si>
  <si>
    <t>FERNANDO WALLES BARBOZA</t>
  </si>
  <si>
    <t>ANALISTA DE PREVENCION DE FRAUDES</t>
  </si>
  <si>
    <t>fernando.walles@multiva.com.mx</t>
  </si>
  <si>
    <t>ARISTIDES MARTIN SANCHEZ LOPEZ</t>
  </si>
  <si>
    <t>aristides.sanchez@multiva.com.mx</t>
  </si>
  <si>
    <t>MIGUEL ANGEL PEREZ SOLANO</t>
  </si>
  <si>
    <t>miguel.psolano@multiva.com.mx</t>
  </si>
  <si>
    <t>MARIO MANUEL BELTRAN ACOSTA</t>
  </si>
  <si>
    <t>mario.beltran@multiva.com.mx</t>
  </si>
  <si>
    <t>KARINA ROMERO GAYTAN</t>
  </si>
  <si>
    <t>karina.romero@multiva.com.mx</t>
  </si>
  <si>
    <t>ROSALIA PEREZ PARRA</t>
  </si>
  <si>
    <t>rosalia.perez@multiva.com.mx</t>
  </si>
  <si>
    <t>ADRIANA AIDE GINEZ ESPINOZA</t>
  </si>
  <si>
    <t>adriana.ginez@multiva.com.mx</t>
  </si>
  <si>
    <t>RICARDO TLATELPA VALENCIA</t>
  </si>
  <si>
    <t>ESPECIALISTA PREVENCION DE CONDUCTAS OBSERVABLES</t>
  </si>
  <si>
    <t>ricardo.tlatelpa@multiva.com.mx</t>
  </si>
  <si>
    <t>ANA DEL CARMEN DOMINGUEZ MELENDEZ</t>
  </si>
  <si>
    <t>ana.dominguez@multiva.com.mx</t>
  </si>
  <si>
    <t>LUIS MIGUEL FRAGOSO PIEDRA</t>
  </si>
  <si>
    <t>luis.fragoso@multiva.com.mx</t>
  </si>
  <si>
    <t>JUAN BERNARDO GOICOECHEA SAN MARTIN</t>
  </si>
  <si>
    <t>DIRECTOR DE MERCADO DE CAPITALES</t>
  </si>
  <si>
    <t>TESORERIA Y OPERACIONES DE MERCADO</t>
  </si>
  <si>
    <t>juan.goicoechea@multiva.com.mx</t>
  </si>
  <si>
    <t>FLOR ELIZABETH URIBE REYES</t>
  </si>
  <si>
    <t>ASISTENTE DE DIRECCION B</t>
  </si>
  <si>
    <t>elizabeth.uribe@multiva.com.mx</t>
  </si>
  <si>
    <t>ARTURO ZAVALA HURTADO</t>
  </si>
  <si>
    <t>GERENTE DE MERCADO DE CAPITALES</t>
  </si>
  <si>
    <t>Arturo.zavala@multiva.com.mx</t>
  </si>
  <si>
    <t>JUAN PABLO ALVAREZ JACUINDE</t>
  </si>
  <si>
    <t>juan.alvarez@multiva.com.mx</t>
  </si>
  <si>
    <t>ANGEL OMAR ESTRADA VALENCIA</t>
  </si>
  <si>
    <t>DIRECTOR CORPORATIVO DE AUDITORIA</t>
  </si>
  <si>
    <t>DIRECCION  AUDITORIA</t>
  </si>
  <si>
    <t>angel.estrada@multiva.com.mx</t>
  </si>
  <si>
    <t>MIGUEL ANGEL BRAVO CARRANZA</t>
  </si>
  <si>
    <t>SUBDIRECTOR DE AUDITORIA (CB, FIM, PLD)</t>
  </si>
  <si>
    <t>miguel.bravo@multiva.com.mx</t>
  </si>
  <si>
    <t>JOSUE NAYIB ADAME CORTES</t>
  </si>
  <si>
    <t>GERENTE AUDITORIA</t>
  </si>
  <si>
    <t>josue.adame@multiva.com.mx</t>
  </si>
  <si>
    <t>SALVADOR JUAN PERALTA VALLE</t>
  </si>
  <si>
    <t>AUDITOR SR</t>
  </si>
  <si>
    <t>salvador.peralta@multiva.com.mx</t>
  </si>
  <si>
    <t>JORGE ARTURO MONTOYA SANCHEZ</t>
  </si>
  <si>
    <t>jorge.montoya@multiva.com.mx</t>
  </si>
  <si>
    <t>OSWALDO APARICIO LEON</t>
  </si>
  <si>
    <t>SUBDIRECTOR DE AUDITORIA (T.I. Y AREAS CENTRALES)</t>
  </si>
  <si>
    <t>oswaldo.aparicio@multiva.com.mx</t>
  </si>
  <si>
    <t>FRANCISCO JAVIER KOELIG ORTIZ</t>
  </si>
  <si>
    <t>GERENTE DE AUDITORIA T.I.</t>
  </si>
  <si>
    <t>francisco.koelig@multiva.com.mx</t>
  </si>
  <si>
    <t>EDUARDO MINCHACA SANJUAN</t>
  </si>
  <si>
    <t>SUBDIRECTOR DE AUDITORIA (T.I. BANCO)</t>
  </si>
  <si>
    <t>eduardo.minchaca@multiva.com.mx</t>
  </si>
  <si>
    <t>ANTONIO ENRIQUE GONZALEZ PERALTA</t>
  </si>
  <si>
    <t>antonio.gonzalez@multiva.com.mx</t>
  </si>
  <si>
    <t>LUIS MARTINEZ VAZQUEZ</t>
  </si>
  <si>
    <t>luis.martinezv@multiva.com.mx</t>
  </si>
  <si>
    <t>MARIA GUADALUPE ROJAS AGUILAR</t>
  </si>
  <si>
    <t>guadalupe.rojas@multiva.com.mx</t>
  </si>
  <si>
    <t>ALBERTO MAURO CORTES CAMPOS</t>
  </si>
  <si>
    <t>alberto.cortes@multiva.com.mx</t>
  </si>
  <si>
    <t>GABRIEL OCTAVIANO BARRETO VILLANUEVA</t>
  </si>
  <si>
    <t>SUBDIRECTOR DE AUDITORIA (RIESGOS, MDOS. Y ATENCION AUTORIDADES)</t>
  </si>
  <si>
    <t>gabriel.barreto@multiva.com.mx</t>
  </si>
  <si>
    <t>GLORIA ESTRELLA HERNANDEZ PERALTA</t>
  </si>
  <si>
    <t>BECARIO</t>
  </si>
  <si>
    <t>gloria.hernandez@multiva.com.mx</t>
  </si>
  <si>
    <t>ANGEL ROBERTO MARTINEZ LUNA</t>
  </si>
  <si>
    <t>angel.martinez@multiva.com.mx</t>
  </si>
  <si>
    <t>ANDREA VIRIDIANA HERNANDEZ BERISTAIN</t>
  </si>
  <si>
    <t>andrea.hernandezb@multiva.com.mx</t>
  </si>
  <si>
    <t>AURORA JIMENEZ BARBOSA</t>
  </si>
  <si>
    <t>aurora.jimenez@multiva.com.mx</t>
  </si>
  <si>
    <t>ALEJANDRO DELGADO GONZALEZ</t>
  </si>
  <si>
    <t>alejandro.delgado@multiva.com.mx</t>
  </si>
  <si>
    <t>LUIS FERNANDO GONZALEZ MATIAS</t>
  </si>
  <si>
    <t>DIRECTOR AUDITORIA CREDITO, OPERACIONES Y TI</t>
  </si>
  <si>
    <t>luis.gmatias@multiva.com.mx</t>
  </si>
  <si>
    <t>DANIEL HUERTA SANCHEZ</t>
  </si>
  <si>
    <t>SUBDIRECTOR AUDITORIA CREDITO</t>
  </si>
  <si>
    <t>daniel.huerta@multiva.com.mx</t>
  </si>
  <si>
    <t>JOSE LUIS ALCANTARA MOLINA</t>
  </si>
  <si>
    <t>jose.alcantara@multiva.com.mx</t>
  </si>
  <si>
    <t>FANNY LORENA RODRIGUEZ GUTIERREZ</t>
  </si>
  <si>
    <t>DIRECTORA GENERAL SOFI</t>
  </si>
  <si>
    <t>OPERACIONES SOFI</t>
  </si>
  <si>
    <t>fanny.rodriguez@multiva.com.mx</t>
  </si>
  <si>
    <t>CAROLINA SUSANA ANAYA ALVAREZ</t>
  </si>
  <si>
    <t>ASISTENTE DE DIRECCION A</t>
  </si>
  <si>
    <t>carolina.anaya@multiva.com.mx</t>
  </si>
  <si>
    <t>ANDRES OMAR HERNANDEZ JUAREZ</t>
  </si>
  <si>
    <t>SUBDIRECTOR DE RIESGO</t>
  </si>
  <si>
    <t>andres.hernandez@multiva.com.mx</t>
  </si>
  <si>
    <t>ALEJANDRO RUBIO VARGAS</t>
  </si>
  <si>
    <t>SUBDIRECTOR PROMOCION FONDOS DE INVERSION</t>
  </si>
  <si>
    <t>alejandro.rubio@multiva.com.mx</t>
  </si>
  <si>
    <t>SALVADOR RIOS PEREA</t>
  </si>
  <si>
    <t>ADMINISTRADOR DE CARTERA FONDOS DE INVERSION</t>
  </si>
  <si>
    <t>salvador.rios@multiva.com.mx</t>
  </si>
  <si>
    <t>ROSALIA ULLOA SAAVEDRA</t>
  </si>
  <si>
    <t>EJECUTIVO SR. FONDOS DE INVERSION</t>
  </si>
  <si>
    <t>rosalia.ulloa@multiva.com.mx</t>
  </si>
  <si>
    <t>JAVIER MARTINEZ ARELLANO</t>
  </si>
  <si>
    <t>javier.martinez@multiva.com.mx</t>
  </si>
  <si>
    <t>RICARDO VARGAS LOPEZ</t>
  </si>
  <si>
    <t>ricardo.vargas@multiva.com.mx</t>
  </si>
  <si>
    <t>ALAN LOPEZ LOPEZ</t>
  </si>
  <si>
    <t>alan.lopez@multiva.com.mx</t>
  </si>
  <si>
    <t>PAOLA HERRERA ARAUJO</t>
  </si>
  <si>
    <t>paola.herrera@multiva.com.mx</t>
  </si>
  <si>
    <t>SAMUEL LUEVANO LOPEZ</t>
  </si>
  <si>
    <t>samuel.luevano@multiva.com.mx</t>
  </si>
  <si>
    <t>FELIX ANTOLIN MORAN</t>
  </si>
  <si>
    <t>felix.antolin@multiva.com.mx</t>
  </si>
  <si>
    <t>GABRIEL ANTONIO LOPEZ ISLAS</t>
  </si>
  <si>
    <t>gabriel.lopez@multiva.com.mx</t>
  </si>
  <si>
    <t>DULCE VIANEY VELAZCO DEL RIO</t>
  </si>
  <si>
    <t>dulce.velazco@multiva.com.mx</t>
  </si>
  <si>
    <t>ERIKA JULIETA OROS CHAVEZ</t>
  </si>
  <si>
    <t>erika.oros@multiva.com.mx</t>
  </si>
  <si>
    <t>GABRIELA MARIBEL FRANCO CAMARENA</t>
  </si>
  <si>
    <t>gabriela.franco@multiva.com.mx</t>
  </si>
  <si>
    <t>SAMANTHA MIRELLE TIBURCIO BRICEÑO</t>
  </si>
  <si>
    <t>samantha.tiburcio@multiva.com.mx</t>
  </si>
  <si>
    <t>JESUS OMAR SALGADO GARCIA</t>
  </si>
  <si>
    <t>jesus.salgado@multiva.com.mx</t>
  </si>
  <si>
    <t>GEORGINA RUIZ PEREZ</t>
  </si>
  <si>
    <t>DIRECTORA INVERSIONES</t>
  </si>
  <si>
    <t>georgina.ruiz@multiva.com.mx</t>
  </si>
  <si>
    <t>JONATHAN RAFAEL GARCIA GUTIERREZ</t>
  </si>
  <si>
    <t>ANALISTA DE FONDOS DE INVERSION</t>
  </si>
  <si>
    <t>jonathan.garcia@multiva.com.mx</t>
  </si>
  <si>
    <t>GUILLERMO ALBERTO RIVERA MARTINEZ</t>
  </si>
  <si>
    <t>guillermo.rivera@multiva.com.mx</t>
  </si>
  <si>
    <t>IKER MORALES HERRERO</t>
  </si>
  <si>
    <t>iker.morales@multiva.com.mx</t>
  </si>
  <si>
    <t>LAURA CECILIA BARRERA CABALLERO</t>
  </si>
  <si>
    <t>SUBDIRECTORA PRODUCTOS Y DERIVADOS</t>
  </si>
  <si>
    <t>cecilia.barrera@multiva.com.mx</t>
  </si>
  <si>
    <t>MARIA BEATRIZ IBARRA BARRAGAN</t>
  </si>
  <si>
    <t>ADMINISTRADOR DE CARTERA FONDOS DE INVERSION SR</t>
  </si>
  <si>
    <t>beatriz.ibarra@multiva.com.mx</t>
  </si>
  <si>
    <t>CARLOS ALBERTO RODAL DIAZ</t>
  </si>
  <si>
    <t>SUBDIRECTOR DE OPERACION DE FONDOS</t>
  </si>
  <si>
    <t>Carlos.rodal@multiva.com.mx</t>
  </si>
  <si>
    <t>SERGIO EDDY CUERVO</t>
  </si>
  <si>
    <t>DIRECTOR CORPORATIVO RIESGOS Y CONTROL INTERNO</t>
  </si>
  <si>
    <t>DIRECCION CORPORATIVA RIESGO Y CONTROL INTERNO</t>
  </si>
  <si>
    <t>sergio.eddy@multiva.com.mx</t>
  </si>
  <si>
    <t>ALFONSO ALVAREZ RAMIREZ</t>
  </si>
  <si>
    <t>DIRECTOR DE RIESGOS</t>
  </si>
  <si>
    <t>alfonso.alvarez@multiva.com.mx</t>
  </si>
  <si>
    <t>ERICA ELIZABETH NAVARRETE GONZALEZ</t>
  </si>
  <si>
    <t>SUBDIRECTORA RIESGOS DE CREDITO E INVESTIGACION</t>
  </si>
  <si>
    <t>erica.navarrete@multiva.com.mx</t>
  </si>
  <si>
    <t>ESTEBAN RODRIGUEZ BARRIOS</t>
  </si>
  <si>
    <t>SUBDIRECTOR DE RIESGO DISCRECIONAL</t>
  </si>
  <si>
    <t>esteban.rodriguez@multiva.com.mx</t>
  </si>
  <si>
    <t>PATRICIA CAMACHO VELAZQUEZ</t>
  </si>
  <si>
    <t>GERENTE DE RIESGO DISCRECIONAL</t>
  </si>
  <si>
    <t>patricia.camacho@multiva.com.mx</t>
  </si>
  <si>
    <t>ANA MARIA NAVARRETE GONZALEZ</t>
  </si>
  <si>
    <t>ESPECIALISTA DE RIESGO DISCRECIONAL</t>
  </si>
  <si>
    <t>ana.navarrete@multiva.com.mx</t>
  </si>
  <si>
    <t>PIERLUIGI CALIA CERRILLO</t>
  </si>
  <si>
    <t>pierluigi.calia@multiva.com.mx</t>
  </si>
  <si>
    <t>PABLO ANDRES MONTEJO APONTE</t>
  </si>
  <si>
    <t>ANALISTA DE RIESGO DISCRECIONAL</t>
  </si>
  <si>
    <t>pablo.montejo@multiva.com.mx</t>
  </si>
  <si>
    <t>YANETH MARLEN ORTEGA PARADA</t>
  </si>
  <si>
    <t>yaneth.ortega@multiva.com.mx</t>
  </si>
  <si>
    <t>EDGAR VICENTE LIMA ZAPATA</t>
  </si>
  <si>
    <t>ESPECIALISTA DE RIESGO DE CREDITO</t>
  </si>
  <si>
    <t>edgar.lima@multiva.com.mx</t>
  </si>
  <si>
    <t>IGNACIO ABDIAS TELLO GARCIA</t>
  </si>
  <si>
    <t>GERENTE DE RIESGO DE LIQUIDEZ</t>
  </si>
  <si>
    <t>ignacio.tello@multiva.com.mx</t>
  </si>
  <si>
    <t>RUBEN MAURICIO COSS MARTINEZ</t>
  </si>
  <si>
    <t>ruben.coss@multiva.com.mx</t>
  </si>
  <si>
    <t>DIEGO ANDREI PEREZ NEGRON VALOR</t>
  </si>
  <si>
    <t>diego.perez@multiva.com.mx</t>
  </si>
  <si>
    <t>JUAN PAULO ANTONIO RIVERA MONTIEL</t>
  </si>
  <si>
    <t>DIRECTOR DE RIESGOS NO DISCRECIONALES</t>
  </si>
  <si>
    <t>juan.rivera@multiva.com.mx</t>
  </si>
  <si>
    <t>GABRIELA MORENO ESCOBAR</t>
  </si>
  <si>
    <t>GERENTE BCP</t>
  </si>
  <si>
    <t>gabriela.moreno@multiva.com.mx</t>
  </si>
  <si>
    <t>ALEJANDRO LOMAS OLVERA</t>
  </si>
  <si>
    <t>ESPECIALISTA CONTINUIDAD DE NEGOCIO</t>
  </si>
  <si>
    <t>alejandro.lomas@multiva.com.mx</t>
  </si>
  <si>
    <t>LUIS ANDRES MARTINEZ VALDES</t>
  </si>
  <si>
    <t>ANALISTA DE RIESGOS</t>
  </si>
  <si>
    <t>luis.martinez@multiva.com.mx</t>
  </si>
  <si>
    <t>ANA PATRICIA BUSTAMANTE CAMPOS</t>
  </si>
  <si>
    <t>ANALISTA DE RIESGO NO DISCRECIONAL</t>
  </si>
  <si>
    <t>ana.bustamante@multiva.com.mx</t>
  </si>
  <si>
    <t>ELISA EUGENIA ESTEVEZ PICHARDO</t>
  </si>
  <si>
    <t>SUBDIRECTORA RIESGO OPERATIVO</t>
  </si>
  <si>
    <t>elisa.estevez@multiva.com.mx</t>
  </si>
  <si>
    <t>MARIA ESTHER RODRIGUEZ VELAZQUEZ</t>
  </si>
  <si>
    <t>DIRECTORA CONTROL INTERNO</t>
  </si>
  <si>
    <t>maria.rodriguez@multiva.com.mx</t>
  </si>
  <si>
    <t>MARIA TERESA SOLIS DELGADO</t>
  </si>
  <si>
    <t>SUBDIRECTORA DE CUMPLIMIENTO</t>
  </si>
  <si>
    <t>teresa.solis@multiva.com.mx</t>
  </si>
  <si>
    <t>XANAT LINARES PLASCENCIA</t>
  </si>
  <si>
    <t>ANALISTA DE CUMPLIMIENTO</t>
  </si>
  <si>
    <t>xanat.linares@multiva.com.mx</t>
  </si>
  <si>
    <t>CELIA CRUZ RIVERA</t>
  </si>
  <si>
    <t>celia.cruz@multiva.com.mx</t>
  </si>
  <si>
    <t>JUAN MARCOS NIETO VICTORIA</t>
  </si>
  <si>
    <t>GERENTE DE CUMPLIMIENTO NORMATIVO</t>
  </si>
  <si>
    <t>juan.nieto@multiva.com.mx</t>
  </si>
  <si>
    <t>VANESSA CHAVEZ LOPEZ</t>
  </si>
  <si>
    <t>ESPECIALISTA DE CUMPLIMIENTO NORMATIVO</t>
  </si>
  <si>
    <t>vanessa.chavez@multiva.com.mx</t>
  </si>
  <si>
    <t>JUAN CARLOS ARANDA GONZALEZ</t>
  </si>
  <si>
    <t>GERENTE DE NORMATIVIDAD</t>
  </si>
  <si>
    <t>juan.aranda@multiva.com.mx</t>
  </si>
  <si>
    <t>FRANCISCO ANTONIO SANCHEZ CARDOZA</t>
  </si>
  <si>
    <t>ANALISTA DE NORMATIVIDAD</t>
  </si>
  <si>
    <t>francisco.sanchez@multiva.com.mx</t>
  </si>
  <si>
    <t>FELIPE DE JESUS DIAZ VALVERDE</t>
  </si>
  <si>
    <t>felipe.diaz@multiva.com.mx</t>
  </si>
  <si>
    <t>LUZ DEL CARMEN DURAN ARTEAGA</t>
  </si>
  <si>
    <t>CONTRALOR NORMATIVO OPERADORA</t>
  </si>
  <si>
    <t>luz.duran@multiva.com.mx</t>
  </si>
  <si>
    <t>ANDREA FLORES ALMARAZ</t>
  </si>
  <si>
    <t>ANALISTA DE CUMPLIMIENTO NORMATIVO OPERADORA</t>
  </si>
  <si>
    <t>andrea.flores@multiva.com.mx</t>
  </si>
  <si>
    <t>HUGO OSWALDO MEDINA ALCANTARA</t>
  </si>
  <si>
    <t>SUBDIRECTOR DE CONTROL INTERNO</t>
  </si>
  <si>
    <t>hugo.medina@multiva.com.mx</t>
  </si>
  <si>
    <t>MARIA DEL CARMEN HERNANDEZ TOLENTINO</t>
  </si>
  <si>
    <t>ANALISTA DE CONTROL INTERNO</t>
  </si>
  <si>
    <t>mdelcarmen.hernandez@multiva.com.mx</t>
  </si>
  <si>
    <t>KAREN JOCELYN MENDOZA GUZMAN</t>
  </si>
  <si>
    <t>karenj.mendoza@multiva.com.mx</t>
  </si>
  <si>
    <t>RUTH PAOLA RAMIREZ CASTRO</t>
  </si>
  <si>
    <t>ESPECIALISTA DE CONTROL INTERNO</t>
  </si>
  <si>
    <t>ruth.ramirez@multiva.com.mx</t>
  </si>
  <si>
    <t>RICARDO ARISTEO VAZQUEZ FUENTES</t>
  </si>
  <si>
    <t>DIRECTOR DE PREVENCION DE LAVADO DE DINERO</t>
  </si>
  <si>
    <t>ricardo.vazquez@multiva.com.mx</t>
  </si>
  <si>
    <t>RAUL FLORES CRUZ</t>
  </si>
  <si>
    <t>DELEGADO INSITU COMPLIANCE</t>
  </si>
  <si>
    <t>raul.flores@multiva.com.mx</t>
  </si>
  <si>
    <t>JAFET URIEL PEÑA SALDAÑA</t>
  </si>
  <si>
    <t>ANALISTA DE MESA DE VALIDACION Y CUMPLIMIENTO</t>
  </si>
  <si>
    <t>jafet.pena@multiva.com.mx</t>
  </si>
  <si>
    <t>ERIKA GONZALEZ VIDALS</t>
  </si>
  <si>
    <t>GERENTE COMPLIANCE ONBOARDING FIDUCIARIO</t>
  </si>
  <si>
    <t>erika.gonzalez@multiva.com.mx</t>
  </si>
  <si>
    <t>JORGE MIRANDA ESCUDERO</t>
  </si>
  <si>
    <t>ANALISTA ONBOARDING PLD</t>
  </si>
  <si>
    <t>jorge.miranda@multiva.com.mx</t>
  </si>
  <si>
    <t>LUCIA ALEJANDRA GONZALEZ VELAZQUEZ</t>
  </si>
  <si>
    <t>GERENTE DE PLD</t>
  </si>
  <si>
    <t>lucia.gonzalez@multiva.com.mx</t>
  </si>
  <si>
    <t>ERIKA HERNANDEZ GONZALEZ</t>
  </si>
  <si>
    <t>ANALISTA DE CUMPLIMIENTO PLD</t>
  </si>
  <si>
    <t>erika.hernandezg@multiva.com.mx</t>
  </si>
  <si>
    <t>STEPHANIE SANCHEZ POSADAS</t>
  </si>
  <si>
    <t>COORDINADOR DE NORMATIVIDAD PLD</t>
  </si>
  <si>
    <t>stephanie.sanchez@multiva.com.mx</t>
  </si>
  <si>
    <t>JUAN ALBERTO HERNANDEZ ESTRADA</t>
  </si>
  <si>
    <t>GERENTE DATA INTELIGENCE</t>
  </si>
  <si>
    <t>alberto.hernandez@multiva.com.mx</t>
  </si>
  <si>
    <t>GERARDO ALEXIS LOPEZ BRICEÑO</t>
  </si>
  <si>
    <t>ESPECIALISTA DATA INTELLIGENCE</t>
  </si>
  <si>
    <t>gerardo.lopez@multiva.com.mx</t>
  </si>
  <si>
    <t>LESLIE ALIN HERNANDEZ CORREA</t>
  </si>
  <si>
    <t>GERENTE DE ONBOARDING</t>
  </si>
  <si>
    <t>leslie.hernandez@multiva.com.mx</t>
  </si>
  <si>
    <t>MARTHA PAOLA ORTIZ TINAJERO</t>
  </si>
  <si>
    <t>ANALISTA DE PREVENCION LAVADO DE DINERO</t>
  </si>
  <si>
    <t>martha.otinajero@multiva.com.mx</t>
  </si>
  <si>
    <t>LUIS ENRIQUE TORRES BECERRIL</t>
  </si>
  <si>
    <t>ANALISTA DE ONBOARDING</t>
  </si>
  <si>
    <t>luis.torres@multiva.com.mx</t>
  </si>
  <si>
    <t>OSCAR ARIZMENDI CHAVEZ</t>
  </si>
  <si>
    <t>oscar.arizmendi@multiva.com.mx</t>
  </si>
  <si>
    <t>BRENDA MARLEN VILLEGAS RUIZ</t>
  </si>
  <si>
    <t>brenda.villegas@multiva.com.mx</t>
  </si>
  <si>
    <t>CYNTHIA MELENDEZ CORTES</t>
  </si>
  <si>
    <t>GERENTE DE ANALISIS DE OPERACIONES PLD</t>
  </si>
  <si>
    <t>cynthia.melendez@multiva.com.mx</t>
  </si>
  <si>
    <t>GUSTAVO GUILLERMO PALACIO HERNANDEZ</t>
  </si>
  <si>
    <t>ANALISTA DE MONITOREO PLD</t>
  </si>
  <si>
    <t>gustavo.palacio@multiva.com.mx</t>
  </si>
  <si>
    <t>KARLA BEATRIZ REYES RODRIGUEZ</t>
  </si>
  <si>
    <t>karla.reyes@multiva.com.mx</t>
  </si>
  <si>
    <t>MONSERRAT VARGAS MARTINEZ</t>
  </si>
  <si>
    <t>monserrat.vargas@multiva.com.mx</t>
  </si>
  <si>
    <t>JANET OCAÑA HERNANDEZ</t>
  </si>
  <si>
    <t>janet.ocana@multiva.com.mx</t>
  </si>
  <si>
    <t>CAROLINA GUADALUPE MONTAÑO ALVAREZ</t>
  </si>
  <si>
    <t>carolina.montano@multiva.com.mx</t>
  </si>
  <si>
    <t>ERICK RUBEN ALQUICIRA ROSAS</t>
  </si>
  <si>
    <t>COORDINADOR DE ANALISIS DE OPERACIONES</t>
  </si>
  <si>
    <t>erick.alquicira@multiva.com.mx</t>
  </si>
  <si>
    <t>MARIA GABRIELA AVILA VALENCIA</t>
  </si>
  <si>
    <t>gabriela.avila@multiva.com.mx</t>
  </si>
  <si>
    <t>SARAI LOPEZ AMADOR</t>
  </si>
  <si>
    <t>sarai.lopez@multiva.com.mx</t>
  </si>
  <si>
    <t>ADRIAN GRIS LOPEZ</t>
  </si>
  <si>
    <t>adrian.gris@multiva.com.mx</t>
  </si>
  <si>
    <t>NIDIA VELAZQUEZ GARCIA</t>
  </si>
  <si>
    <t>nidia.velazquez@multiva.com.mx</t>
  </si>
  <si>
    <t>SANTIAGO GONZALEZ BUENO</t>
  </si>
  <si>
    <t>SUBDIRECTOR IT COMPLIANCE</t>
  </si>
  <si>
    <t>santiago.gonzalez@multiva.com.mx</t>
  </si>
  <si>
    <t>RAMSES SANCHEZ ROLDAN</t>
  </si>
  <si>
    <t>SUBDIRECTOR RISK COMPLIANCE</t>
  </si>
  <si>
    <t>ramses.sanchez@multiva.com.mx</t>
  </si>
  <si>
    <t>MAURICIO FEDERICO RUEDA CHAPITAL DE LA GARZA</t>
  </si>
  <si>
    <t>DIRECTOR CORPORATIVO JURIDICO</t>
  </si>
  <si>
    <t>DIRECCION JURIDICO</t>
  </si>
  <si>
    <t>mauricio.rueda@multiva.com.mx</t>
  </si>
  <si>
    <t>GUADALUPE ROXANA AGUILAR FLORES</t>
  </si>
  <si>
    <t>GERENTE JURIDICO</t>
  </si>
  <si>
    <t>roxana.aguilar@multiva.com.mx</t>
  </si>
  <si>
    <t>PAMELA AHURI RUIZ CRUZ</t>
  </si>
  <si>
    <t>ANALISTA JURIDICO</t>
  </si>
  <si>
    <t>pamela.ruiz@multiva.com.mx</t>
  </si>
  <si>
    <t>MARCOS RAFAEL ISIDRO OSORIO</t>
  </si>
  <si>
    <t>ABOGADO JR (DICTAMINACION Y VERIFICACION)</t>
  </si>
  <si>
    <t>marcos.isidro@multiva.com.mx</t>
  </si>
  <si>
    <t>JUAN GERARDO VASQUEZ JUAREZ</t>
  </si>
  <si>
    <t>SUBDIRECTOR JURIDICO (CONTENCIOSO)</t>
  </si>
  <si>
    <t>juan.vasquez@multiva.com.mx</t>
  </si>
  <si>
    <t>ANDREA ALMARAZ LEZAMA</t>
  </si>
  <si>
    <t>ABOGADO LITIGANTE</t>
  </si>
  <si>
    <t>andrea.almaraz@multiva.com.mx</t>
  </si>
  <si>
    <t>MICHAEL SHARABATI FERRER VEGA GUZMAN</t>
  </si>
  <si>
    <t>ABOGADO SR</t>
  </si>
  <si>
    <t>michael.ferrervega@multiva.com.mx</t>
  </si>
  <si>
    <t>MARIANA NALLELY GARCIA JAIMES</t>
  </si>
  <si>
    <t>GERENTE UNIDAD ESPECIALIZADA</t>
  </si>
  <si>
    <t>mariana.garcia@multiva.com.mx</t>
  </si>
  <si>
    <t>JUAN CARLOS GIL ESCUTIA</t>
  </si>
  <si>
    <t>ANALISTA UNIDAD ESPECIALIZADA JR.</t>
  </si>
  <si>
    <t>juan.gil@multiva.com.mx</t>
  </si>
  <si>
    <t>JOSE ISABEL GONZALEZ SANCHEZ</t>
  </si>
  <si>
    <t>ANALISTA UNIDAD ESPECIALIZADA SR.</t>
  </si>
  <si>
    <t>jose.gonzalez@multiva.com.mx</t>
  </si>
  <si>
    <t>IVONNE ADRIANA BLANCO GONZALEZ</t>
  </si>
  <si>
    <t>SUBDIRECTORA JURIDICO (ASUNTOS NORMATIVOS)</t>
  </si>
  <si>
    <t>ivonne.blanco@multiva.com.mx</t>
  </si>
  <si>
    <t>IVETTE GAYTAN RAMIREZ</t>
  </si>
  <si>
    <t>ivette.gaytan@multiva.com.mx</t>
  </si>
  <si>
    <t>MARIA XOMARA BARAGAÑO TORRES</t>
  </si>
  <si>
    <t>ABOGADO JR</t>
  </si>
  <si>
    <t>maria.baragano@multiva.com.mx</t>
  </si>
  <si>
    <t>MARTHA ALEJANDRA HERNANDEZ SAUCEDO</t>
  </si>
  <si>
    <t>SUBDIRECTORA DE CONTRATACION DE CREDITO</t>
  </si>
  <si>
    <t>alejandra.saucedo@multiva.com.mx</t>
  </si>
  <si>
    <t>SAMANTHA MARTINEZ SILVA</t>
  </si>
  <si>
    <t>samantha.martinez@multiva.com.mx</t>
  </si>
  <si>
    <t>SANDRA ESTELA SORIANO FLORES</t>
  </si>
  <si>
    <t>GERENTE JURIDICO DE CREDITO</t>
  </si>
  <si>
    <t>sandra.soriano@multiva.com.mx</t>
  </si>
  <si>
    <t>JOSE DE JESUS GONZALEZ BARTOLO</t>
  </si>
  <si>
    <t>SUBDIRECTOR ATENCION DE AUTORIDADES</t>
  </si>
  <si>
    <t>jose.gonzalezb@multiva.com.mx</t>
  </si>
  <si>
    <t>JUAN GUERRA RODRIGUEZ</t>
  </si>
  <si>
    <t>ANALISTA ATENCION DE AUTORIDADES SR.</t>
  </si>
  <si>
    <t>juan.guerra@multiva.com.mx</t>
  </si>
  <si>
    <t>JORGE ADRIAN GARDUÑO GUERRERO</t>
  </si>
  <si>
    <t>GERENTE ATENCION DE AUTORIDADES</t>
  </si>
  <si>
    <t>jorge.garduno@multiva.com.mx</t>
  </si>
  <si>
    <t>FERNANDO GARCIA LEON</t>
  </si>
  <si>
    <t>ANALISTA ATENCION DE AUTORIDADES JR.</t>
  </si>
  <si>
    <t>fernando.garcialeon@multiva.com.mx</t>
  </si>
  <si>
    <t>MICHEL ALEJANDRA ACOSTA SOSA</t>
  </si>
  <si>
    <t>michel.acosta@multiva.com.mx</t>
  </si>
  <si>
    <t>VICTOR ALFONSO TELLEZ FELIPE</t>
  </si>
  <si>
    <t>victora.tellez@multiva.com.mx</t>
  </si>
  <si>
    <t>EDUARDO ROJAS GONZALEZ</t>
  </si>
  <si>
    <t>eduardo.rojas@multiva.com.mx</t>
  </si>
  <si>
    <t>VERONICA FALCON CHAVEZ</t>
  </si>
  <si>
    <t>veronica.falconc@multiva.com.mx</t>
  </si>
  <si>
    <t>EDNA JURITZY ALBA MORALES</t>
  </si>
  <si>
    <t>edna.alba@multiva.com.mx</t>
  </si>
  <si>
    <t>IVONNE ITZEL PACHECO DELGADO</t>
  </si>
  <si>
    <t>ivonne.pacheco@multiva.com.mx</t>
  </si>
  <si>
    <t>HORACIO FERNANDO FRIAS SALDAÑA</t>
  </si>
  <si>
    <t>SUBDIRECTOR DE CONTRATACION DE CREDITO</t>
  </si>
  <si>
    <t>horacio.frias@multiva.com.mx</t>
  </si>
  <si>
    <t>MARIANA GODINEZ VERTIZ</t>
  </si>
  <si>
    <t>mariana.godinez@multiva.com.mx</t>
  </si>
  <si>
    <t>PAOLA ALEMAN CERRILLO</t>
  </si>
  <si>
    <t>GERENTE DE CONTRATACION DE CREDITO</t>
  </si>
  <si>
    <t>paola.aleman@multiva.com.mx</t>
  </si>
  <si>
    <t>JUAN CARLOS OCHOA SANTANA</t>
  </si>
  <si>
    <t>juan.ochoa@multiva.com.mx</t>
  </si>
  <si>
    <t>MARIA GABRIELA RODRIGUEZ SANCHEZ</t>
  </si>
  <si>
    <t>mgabriela.rodriguez@multiva.com.mx</t>
  </si>
  <si>
    <t>LENNY XIOMARA SANTANA NOVOA</t>
  </si>
  <si>
    <t>lenny.santana@multiva.com.mx</t>
  </si>
  <si>
    <t>HAYDE SORAYA RAMIREZ ALVARADO</t>
  </si>
  <si>
    <t>SUBDIRECTORA JURIDICO CORPORATIVO</t>
  </si>
  <si>
    <t>hayde.ramirez@multiva.com.mx</t>
  </si>
  <si>
    <t>EDGAR ARMANDO NAVA ESTRELLA</t>
  </si>
  <si>
    <t>GERENTE JURIDICO CORPORATIVO</t>
  </si>
  <si>
    <t>edgar.nava@multiva.com.mx</t>
  </si>
  <si>
    <t>NANCY GRETEL RAMIREZ SEGURA</t>
  </si>
  <si>
    <t>nancy.ramirez@multiva.com.mx</t>
  </si>
  <si>
    <t>DANIEL ALEJANDRO RAMIREZ GARCIA</t>
  </si>
  <si>
    <t>daniel.ramirez@multiva.com.mx</t>
  </si>
  <si>
    <t>MAURICIO ANELL ARRIAGA</t>
  </si>
  <si>
    <t>mauricio.anell@multiva.com.mx</t>
  </si>
  <si>
    <t>ERNESTO SCHREINER ANGLI</t>
  </si>
  <si>
    <t>ernesto.schreiner@multiva.com.mx</t>
  </si>
  <si>
    <t>MARIBEL DAVILA MEZA</t>
  </si>
  <si>
    <t>maribel.davila@multiva.com.mx</t>
  </si>
  <si>
    <t>ADRIANA OSTIO CALERA</t>
  </si>
  <si>
    <t>adriana.ostio@multiva.com.mx</t>
  </si>
  <si>
    <t>ANA GABRIELA RAMON TINAJERO</t>
  </si>
  <si>
    <t>ana.ramon@multiva.com.mx</t>
  </si>
  <si>
    <t>KAREN GUADALUPE RAMIREZ RUIZ</t>
  </si>
  <si>
    <t>karen.ramirez@multiva.com.mx</t>
  </si>
  <si>
    <t>GUSTAVO ADOLFO ROSAS PRADO</t>
  </si>
  <si>
    <t>DIRECTOR CORPORATIVO DE ADMINISTRACION Y FINANZAS</t>
  </si>
  <si>
    <t>DIRECCION DE ADMINISTRACION Y FINANZAS</t>
  </si>
  <si>
    <t>gustavo.rosas@multiva.com.mx</t>
  </si>
  <si>
    <t>ARACELI MONTER VALENCIA</t>
  </si>
  <si>
    <t>araceli.monter@multiva.com.mx</t>
  </si>
  <si>
    <t>JOEL ERNESTO MILLAN PLATA</t>
  </si>
  <si>
    <t>SUBGERENTE DE SEGURIDAD</t>
  </si>
  <si>
    <t>joel.millan@multiva.com.mx</t>
  </si>
  <si>
    <t>MARIA FERNANDA VELEZ GARCIA</t>
  </si>
  <si>
    <t>RECEPCIONISTA</t>
  </si>
  <si>
    <t>fernanda.velez@multiva.com.mx</t>
  </si>
  <si>
    <t>MARIA LUISA HERNANDEZ ESCAMILLA</t>
  </si>
  <si>
    <t>maria.hernandez@multiva.com.mx</t>
  </si>
  <si>
    <t>YHONATHAN GOMEZ BERNAL</t>
  </si>
  <si>
    <t>GERENTE CENTRAL DE ALARMAS</t>
  </si>
  <si>
    <t>yonathan.gomez@multiva.com.mx</t>
  </si>
  <si>
    <t>CESAR OCTAVIO RODRIGUEZ RAMIRO</t>
  </si>
  <si>
    <t>OPERADOR CENTRAL DE ALARMAS</t>
  </si>
  <si>
    <t>octavio.rodriguez@multiva.com.mx</t>
  </si>
  <si>
    <t>MARIA FERNANDA MARTINEZ HERNANDEZ</t>
  </si>
  <si>
    <t>fernanda.martinez@multiva.com.mx</t>
  </si>
  <si>
    <t>LUIS GERARDO ACOSTA CHABOLLA</t>
  </si>
  <si>
    <t>gerardo.acosta@multiva.com.mx</t>
  </si>
  <si>
    <t>ULISES DANIEL ESLAVA ANGULO</t>
  </si>
  <si>
    <t>ulises.eslava@multiva.com.mx</t>
  </si>
  <si>
    <t>ALVARO PEÑA BERNAL</t>
  </si>
  <si>
    <t>alvaro.pena@multiva.com.mx</t>
  </si>
  <si>
    <t>JACOBO DOLORES LUNA</t>
  </si>
  <si>
    <t>jacobo.dolores@multiva.com.mx</t>
  </si>
  <si>
    <t>MARIO LOPEZ LOPEZ</t>
  </si>
  <si>
    <t>SUBGERENTE DE CENTRAL DE ALARMAS</t>
  </si>
  <si>
    <t>mario.lopez@multiva.com.mx</t>
  </si>
  <si>
    <t>CARMEN DE LEON BARRON</t>
  </si>
  <si>
    <t>GERENTE ADMINISTRACION CONTROL FINANCIERO</t>
  </si>
  <si>
    <t>carmen.deleon@multiva.com.mx</t>
  </si>
  <si>
    <t>ANA KAREN BAUTISTA ASCENCIO</t>
  </si>
  <si>
    <t>ANALISTA ADMINISTRACION CONTROL FINANCIERO</t>
  </si>
  <si>
    <t>ana.bautista@multiva.com.mx</t>
  </si>
  <si>
    <t>REBECA MALDONADO RESENDIZ</t>
  </si>
  <si>
    <t>rebeca.maldonado@multiva.com.mx</t>
  </si>
  <si>
    <t>EZEQUIEL SOLIS ORTIZ</t>
  </si>
  <si>
    <t>ESPECIALISTA ADMINISTRACION CONTROL FINANCIERO</t>
  </si>
  <si>
    <t>ezequiel.solis@multiva.com.mx</t>
  </si>
  <si>
    <t>MIGUEL ANGEL FERNANDEZ MENDOZA</t>
  </si>
  <si>
    <t>SUBGERENTE ADMINISTRACION CONTROL FINANCIERO</t>
  </si>
  <si>
    <t>miguel.fernandez@multiva.com.mx</t>
  </si>
  <si>
    <t>FRANCISCO JAVIER ANGELES GARCIA</t>
  </si>
  <si>
    <t>francisco.angeles@multiva.com.mx</t>
  </si>
  <si>
    <t>JONATAN TONATHIU RINCON ARREOLA</t>
  </si>
  <si>
    <t>jonatan.rincon@multiva.com.mx</t>
  </si>
  <si>
    <t>JORGE ELLIS MALDONADO ALVAREZ</t>
  </si>
  <si>
    <t>jorge.maldonado@multiva.com.mx</t>
  </si>
  <si>
    <t>IGNACIO SANCHEZ DE JESUS</t>
  </si>
  <si>
    <t>SUBDIRECTOR FISCAL</t>
  </si>
  <si>
    <t>ignacio.sanchez@multiva.com.mx</t>
  </si>
  <si>
    <t>JOSE JUAN HERNANDEZ VILLEGAS</t>
  </si>
  <si>
    <t>SUBGERENTE FISCAL</t>
  </si>
  <si>
    <t>jose.hernandezv@multiva.com.mx</t>
  </si>
  <si>
    <t>TERESITA PEREZ OSORIO</t>
  </si>
  <si>
    <t>GERENTE FISCAL</t>
  </si>
  <si>
    <t>teresita.perez@multiva.com.mx</t>
  </si>
  <si>
    <t>ISABEL VAZQUEZ ACOSTA</t>
  </si>
  <si>
    <t>GERENTE ADMINISTRATIVO VMO</t>
  </si>
  <si>
    <t>isabel.vazquez@multiva.com.mx</t>
  </si>
  <si>
    <t>ARTURO IBAÑEZ CAMACHO</t>
  </si>
  <si>
    <t>GERENTE VMO</t>
  </si>
  <si>
    <t>arturo.ibanez@multiva.com.mx</t>
  </si>
  <si>
    <t>EDITH ZAVALA VALADEZ</t>
  </si>
  <si>
    <t>GERENTE DE COMPRAS</t>
  </si>
  <si>
    <t>edith.zavala@multiva.com.mx</t>
  </si>
  <si>
    <t>KENIA MARICELA VAZQUEZ SOLIS</t>
  </si>
  <si>
    <t>ANALISTA DE COMPRAS</t>
  </si>
  <si>
    <t>kenia.vazquez@multiva.com.mx</t>
  </si>
  <si>
    <t>NOEMI LADY FIGUEROA HERNANDEZ</t>
  </si>
  <si>
    <t>AUXILIAR DE COMPRAS</t>
  </si>
  <si>
    <t>noemi.figueroa@multiva.com.mx</t>
  </si>
  <si>
    <t>ERIKA WENDY ESCORZA DE LEON</t>
  </si>
  <si>
    <t>erika.escorza@multiva.com.mx</t>
  </si>
  <si>
    <t>JAVIER RODRIGUEZ CASTILLO</t>
  </si>
  <si>
    <t>SUBDIRECTOR FISCAL (NORMATIVIDAD Y CUMPLIMIENTO)</t>
  </si>
  <si>
    <t>javier.rodriguez@multiva.com.mx</t>
  </si>
  <si>
    <t>BARBARA VALERIA ALBARRAN REYES</t>
  </si>
  <si>
    <t>ESPECIALISTA FISCAL NORMATIVO</t>
  </si>
  <si>
    <t>barbara.albarran@multiva.com.mx</t>
  </si>
  <si>
    <t>ERIKA PEREZ GARCES</t>
  </si>
  <si>
    <t>erika.perez@multiva.com.mx</t>
  </si>
  <si>
    <t>ELIZABETH CASTRO MARTINEZ</t>
  </si>
  <si>
    <t>ESPECIALISTA FISCAL CUMPLIMIENTO</t>
  </si>
  <si>
    <t>elizabeth.castrom@multiva.com.mx</t>
  </si>
  <si>
    <t>KAREN ABIGAIL MURILLO NAVARRO</t>
  </si>
  <si>
    <t>karen.murillo@multiva.com.mx</t>
  </si>
  <si>
    <t>JUAN CARLOS CASTAÑEDA MOLINA</t>
  </si>
  <si>
    <t>SUBDIRECTOR DE TESORERIA</t>
  </si>
  <si>
    <t>juan.castaneda@multiva.com.mx</t>
  </si>
  <si>
    <t>ISRAEL RAMIREZ DOMINGUEZ</t>
  </si>
  <si>
    <t>SUBGERENTE DE TESORERIA</t>
  </si>
  <si>
    <t>israel.ramirez@multiva.com.mx</t>
  </si>
  <si>
    <t>BRENDA YOCELIN FRANCO TABLEROS</t>
  </si>
  <si>
    <t>ANALISTA SPEI</t>
  </si>
  <si>
    <t>brenda.franco@multiva.com.mx</t>
  </si>
  <si>
    <t>CLAUDIA RUTH RODRIGUEZ VELARDE</t>
  </si>
  <si>
    <t>claudiar.rodriguez@multiva.com.mx</t>
  </si>
  <si>
    <t>ISRAEL ARTURO AMUCHASTEGUI RAMOS</t>
  </si>
  <si>
    <t>ANALISTA DE TESORERIA</t>
  </si>
  <si>
    <t>israel.amuchastegui@multiva.com.mx</t>
  </si>
  <si>
    <t>MARIO FERNANDO GONZALEZ MARTINEZ</t>
  </si>
  <si>
    <t>GERENTE TESORERIA VALORES</t>
  </si>
  <si>
    <t>mario.gonzalez@multiva.com.mx</t>
  </si>
  <si>
    <t>LUIS ROBERTO RODRIGUEZ ALFARO</t>
  </si>
  <si>
    <t>ANALISTA DE VALORES</t>
  </si>
  <si>
    <t>luis.rodriguez@multiva.com.mx</t>
  </si>
  <si>
    <t>ARTURO MENDOZA MARTINEZ</t>
  </si>
  <si>
    <t>arturo.mendoza@multiva.com.mx</t>
  </si>
  <si>
    <t>WILFRIDO MARTINEZ NAVA</t>
  </si>
  <si>
    <t>GERENTE TESORERIA INTERNACIONAL</t>
  </si>
  <si>
    <t>wilfrido.martinez@multiva.com.mx</t>
  </si>
  <si>
    <t>ARACELI ZACARIAS BUENDIA</t>
  </si>
  <si>
    <t>araceli.zacarias@multiva.com.mx</t>
  </si>
  <si>
    <t>CLAUDIA ROSETE COVARRUBIAS</t>
  </si>
  <si>
    <t>claudia.rosete@multiva.com.mx</t>
  </si>
  <si>
    <t>AIDA BUSTAMANTE CARRILLO</t>
  </si>
  <si>
    <t>SUBGERENTE FOREX</t>
  </si>
  <si>
    <t>aida.bustamante@multiva.com.mx</t>
  </si>
  <si>
    <t>ERNESTO DAMIAN RIOS</t>
  </si>
  <si>
    <t>GERENTE TESORERIA BURSATIL</t>
  </si>
  <si>
    <t>ernesto.damian@multiva.com.mx</t>
  </si>
  <si>
    <t>DIEGO MIGUEL CASTILLO LEIJA</t>
  </si>
  <si>
    <t>diego.castillo@multiva.com.mx</t>
  </si>
  <si>
    <t>CARLOS ALBERTO LOZANO MONTOYA</t>
  </si>
  <si>
    <t>carlos.lozano@multiva.com.mx</t>
  </si>
  <si>
    <t>ARISBETH DIAZ AVALOS</t>
  </si>
  <si>
    <t>arisbeth.diaz@multiva.com.mx</t>
  </si>
  <si>
    <t>JUAN MANUEL CASADO PRADO</t>
  </si>
  <si>
    <t>SUBDIRECTOR DE RECURSOS MATERIALES</t>
  </si>
  <si>
    <t>juan.casado@multiva.com.mx</t>
  </si>
  <si>
    <t>ISMAEL DAVID URBINA RAMIREZ</t>
  </si>
  <si>
    <t>ismael.urbina@multiva.com.mx</t>
  </si>
  <si>
    <t>NORBERTO SALINAS RABADAN</t>
  </si>
  <si>
    <t>ANALISTA DE SERVICIOS GENERALES</t>
  </si>
  <si>
    <t>norberto.salinas@multiva.com.mx</t>
  </si>
  <si>
    <t>ROSA CAROLINA CAMACHO PERON</t>
  </si>
  <si>
    <t>COORDINADOR CONTROL DOCUMENTAL</t>
  </si>
  <si>
    <t>carolina.camacho@multiva.com.mx</t>
  </si>
  <si>
    <t>MIGUEL MORALES JUAREZ</t>
  </si>
  <si>
    <t>GERENTE DE OBRAS Y BIENES ADJUDICADOS</t>
  </si>
  <si>
    <t>miguel.morales@multiva.com.mx</t>
  </si>
  <si>
    <t>DEMETRIO CASTILLO LUNA</t>
  </si>
  <si>
    <t>ANALISTA DE OBRAS Y BIENES ADJUDICADOS</t>
  </si>
  <si>
    <t>demetrio.castillo@multiva.com.mx</t>
  </si>
  <si>
    <t>LUIS QUEZADA TORRES</t>
  </si>
  <si>
    <t>GERENTE DE MANTENIMIENTO</t>
  </si>
  <si>
    <t>luis.quezada@multiva.com.mx</t>
  </si>
  <si>
    <t>SERGIO BERNAL ESCAMILLA</t>
  </si>
  <si>
    <t>TECNICO DE MANTENIMIENTO</t>
  </si>
  <si>
    <t>ELISEO PEÑAFIEL GARCIA</t>
  </si>
  <si>
    <t>VICTOR MANUEL LUCIANO HURTADO</t>
  </si>
  <si>
    <t>ISMAEL GOMEZ MONROY</t>
  </si>
  <si>
    <t>SUBGERENTE DE MANTENIMIENTO</t>
  </si>
  <si>
    <t>ismael.gomez@multiva.com.mx</t>
  </si>
  <si>
    <t>JORGE ANTONIO CAMACHO ALVAREZ</t>
  </si>
  <si>
    <t>GERENTE DE SERVICIOS GENERALES</t>
  </si>
  <si>
    <t>jorge.camacho@multiva.com.mx</t>
  </si>
  <si>
    <t>CESAR FUENTES REYES</t>
  </si>
  <si>
    <t>AUXILIAR DE SERVICIOS GENERALES</t>
  </si>
  <si>
    <t>ERICK YIBRAN VILLALOBOS GARCIA</t>
  </si>
  <si>
    <t>erick.villalobos@multiva.com.mx</t>
  </si>
  <si>
    <t>PAMELA EUNICE SANCHEZ ROMANO</t>
  </si>
  <si>
    <t>SUBGERENTE DE CONTROL ADMINISTRATIVO</t>
  </si>
  <si>
    <t>pamela.sanchez@multiva.com.mx</t>
  </si>
  <si>
    <t>IRMA GOMEZ HERNANDEZ</t>
  </si>
  <si>
    <t>DIRECTORA CONTABILIDAD</t>
  </si>
  <si>
    <t>irma.gomez@multiva.com.mx</t>
  </si>
  <si>
    <t>YAZMIN SONIA GARCIA CASTILLO</t>
  </si>
  <si>
    <t>GERENTE DE CONTABILIDAD SR</t>
  </si>
  <si>
    <t>yazmin.garcia@multiva.com.mx</t>
  </si>
  <si>
    <t>MAURO GUEVARA GALICIA</t>
  </si>
  <si>
    <t>GERENTE DE MESA DE ASIGNACION</t>
  </si>
  <si>
    <t>mauro.guevara@multiva.com.mx</t>
  </si>
  <si>
    <t>DAVID JOB LADON MORALES LOPEZ</t>
  </si>
  <si>
    <t>ANALISTA MESA DE ASIGNACION</t>
  </si>
  <si>
    <t>david.morales@multiva.com.mx</t>
  </si>
  <si>
    <t>HUGO ROBERTO SANCHEZ VAZQUEZ</t>
  </si>
  <si>
    <t>GERENTE DE CONTABILIDAD</t>
  </si>
  <si>
    <t>hugo.sanchez@multiva.com.mx</t>
  </si>
  <si>
    <t>NELSON ROMERO PEÑA</t>
  </si>
  <si>
    <t>ANALISTA CONTABILIDAD OPERADORA</t>
  </si>
  <si>
    <t>nelson.pena@multiva.com.mx</t>
  </si>
  <si>
    <t>JOSE JESUS CARRILLO HERNANDEZ</t>
  </si>
  <si>
    <t>ESPECIALISTA DE CONTABILIDAD (CASA DE BOLSA)</t>
  </si>
  <si>
    <t>jose.carrillo@multiva.com.mx</t>
  </si>
  <si>
    <t>JUAN LORETO GRIMALDO SANCHEZ</t>
  </si>
  <si>
    <t>SUBDIRECTOR CONTABILIDAD ADMINISTRATIVA</t>
  </si>
  <si>
    <t>juan.grimaldo@multiva.com.mx</t>
  </si>
  <si>
    <t>LUIS GUSTAVO RODRIGUEZ MANCERA</t>
  </si>
  <si>
    <t>GERENTE DE CONTABILIDAD ADMINISTRATIVA</t>
  </si>
  <si>
    <t>luis.rmancera@multiva.com.mx</t>
  </si>
  <si>
    <t>JORGE LUIS SANTOS MONTOYA</t>
  </si>
  <si>
    <t>ANALISTA DE CONTABILIDAD</t>
  </si>
  <si>
    <t>jorge.santos@multiva.com.mx</t>
  </si>
  <si>
    <t>HUMBERTO PESTAÑAS CARBAJAL</t>
  </si>
  <si>
    <t>SUBGERENTE CENTROS DE COSTOS</t>
  </si>
  <si>
    <t>humberto.pestanas@multiva.com.mx</t>
  </si>
  <si>
    <t>ELIZABETH MONSERRAT ALVAREZ ARCIGA</t>
  </si>
  <si>
    <t>SUBGERENTE CUENTAS POR COBRAR Y PAGAR</t>
  </si>
  <si>
    <t>elizabeth.alvarez@multiva.com.mx</t>
  </si>
  <si>
    <t>MARIA LUISA CRUZ PEREZ</t>
  </si>
  <si>
    <t>SUBDIRECTORA INFORMACION FINANCIERA</t>
  </si>
  <si>
    <t>maria.cruz@multiva.com.mx</t>
  </si>
  <si>
    <t>LAURA MONTSERRAT LOZA ANGELES</t>
  </si>
  <si>
    <t>SUBGERENTE INFORMACION FINANCIERA</t>
  </si>
  <si>
    <t>laura.loza@multiva.com.mx</t>
  </si>
  <si>
    <t>KARLA NAYUMI OLGUIN ROJAS</t>
  </si>
  <si>
    <t>karla.olguin@multiva.com.mx</t>
  </si>
  <si>
    <t>ALFONSO CASTRO OVIEDO</t>
  </si>
  <si>
    <t>SUBGERENTE DE REPORTES REGULATORIOS</t>
  </si>
  <si>
    <t>alfonso.castro@multiva.com.mx</t>
  </si>
  <si>
    <t>SALVADOR CANALES VILLALOBOS</t>
  </si>
  <si>
    <t>SUBGERENTE DE CONTABILIDAD (REPORTES REGULATORIOS)</t>
  </si>
  <si>
    <t>salvador.canales@multiva.com.mx</t>
  </si>
  <si>
    <t>CESAR GABRIEL DOMINGUEZ HERNANDEZ</t>
  </si>
  <si>
    <t>cesar.dominguez@multiva.com.mx</t>
  </si>
  <si>
    <t>EDUARDO LEYVA SANCHEZ</t>
  </si>
  <si>
    <t>DGA DE BANCA PRIVADA</t>
  </si>
  <si>
    <t>BANCA PRIVADA</t>
  </si>
  <si>
    <t>eduardo.leyva@multiva.com.mx</t>
  </si>
  <si>
    <t>LAURA SANTILLAN SALGADO</t>
  </si>
  <si>
    <t>laura.santillan@multiva.com.mx</t>
  </si>
  <si>
    <t>ADRIANA MARTINEZ BERMUDEZ</t>
  </si>
  <si>
    <t>GERENTE DE BANCA PRIVADA</t>
  </si>
  <si>
    <t>adriana.martinez@multiva.com.mx</t>
  </si>
  <si>
    <t>FERNANDO SALGADO ZENTENO</t>
  </si>
  <si>
    <t>DIRECTOR DE OPERACIONES BPP</t>
  </si>
  <si>
    <t>fernando.salgado@multiva.com.mx</t>
  </si>
  <si>
    <t>FERNANDA MOSQUEDA NIETO</t>
  </si>
  <si>
    <t>ANALISTA DE BANCA PRIVADA Y PATRIMONIAL</t>
  </si>
  <si>
    <t>fernanda.mosqueda@multiva.com.mx</t>
  </si>
  <si>
    <t>JUAN CARLOS JIMENEZ MORA</t>
  </si>
  <si>
    <t>carlos.jimenez@multiva.com.mx</t>
  </si>
  <si>
    <t>CLYO RIOS ANTONIO</t>
  </si>
  <si>
    <t>clyo.rios@multiva.com.mx</t>
  </si>
  <si>
    <t>SAUL VALLE CASTILLO</t>
  </si>
  <si>
    <t>saul.valle@multiva.com.mx</t>
  </si>
  <si>
    <t>MONICA MONTSERRAT ARELLANO JURADO</t>
  </si>
  <si>
    <t>ESPECIALISTA DE BCA PATRIMONIAL Y PRIVADA</t>
  </si>
  <si>
    <t>monica.arellano@multiva.com.mx</t>
  </si>
  <si>
    <t>JOAQUIN GARCIA MARGAIN DIAZ BARRIGA</t>
  </si>
  <si>
    <t>DIRECTOR DE BANCA PRIVADA</t>
  </si>
  <si>
    <t>joaquin.garcia@multiva.com.mx</t>
  </si>
  <si>
    <t>GABRIELA GARCIA ARREDONDO</t>
  </si>
  <si>
    <t>gabriela.garcia@multiva.com.mx</t>
  </si>
  <si>
    <t>DAFNE LIZETH RODRIGUEZ RIVERA</t>
  </si>
  <si>
    <t>EJECUTIVO DE BANCA PRIVADA JR</t>
  </si>
  <si>
    <t>dafne.rodriguez@multiva.com.mx</t>
  </si>
  <si>
    <t>JAIME EDUARDO CUEVAS DE LA FUENTE</t>
  </si>
  <si>
    <t>jaime.cuevas@multiva.com.mx</t>
  </si>
  <si>
    <t>FLAVIO JOSE MORAN CAMARGO</t>
  </si>
  <si>
    <t>SUBDIRECTOR DE BANCA PRIVADA</t>
  </si>
  <si>
    <t>flavio.moran@multiva.com.mx</t>
  </si>
  <si>
    <t>MARIA NATALIA BOLAÑOS CACHO CUE</t>
  </si>
  <si>
    <t>EJECUTIVO DE BANCA PRIVADA SR</t>
  </si>
  <si>
    <t>maria.bolanos@multiva.com.mx</t>
  </si>
  <si>
    <t>LORENZO JUSTINIANO OSORIO GOMEZ</t>
  </si>
  <si>
    <t>lorenzo.osorio@multiva.com.mx</t>
  </si>
  <si>
    <t>RUTH PENHOS MOUGRABI</t>
  </si>
  <si>
    <t>ruth.penhos@multiva.com.mx</t>
  </si>
  <si>
    <t>DIEGO MIRAVETE CAMARENA</t>
  </si>
  <si>
    <t>diego.miravete@multiva.com.mx</t>
  </si>
  <si>
    <t>RICARDO MONTER ZEPEDA</t>
  </si>
  <si>
    <t>ricardo.monter@multiva.com.mx</t>
  </si>
  <si>
    <t>DORIS EMILIA MAGAÑA CANALES</t>
  </si>
  <si>
    <t>doris.magana@multiva.com.mx</t>
  </si>
  <si>
    <t>ROBERTO ARTURO ARGUELLES CARDENAS</t>
  </si>
  <si>
    <t>roberto.arguelles@multiva.com.mx</t>
  </si>
  <si>
    <t>KITZIA MAGAÑA GUERRA</t>
  </si>
  <si>
    <t>kitzia.magana@multiva.com.mx</t>
  </si>
  <si>
    <t>JAVIER MENDEZ MARIMON</t>
  </si>
  <si>
    <t>javier.mendezm@multiva.com.mx</t>
  </si>
  <si>
    <t>FIDEL ALEJANDRO GUERRERO PINEDO</t>
  </si>
  <si>
    <t>fidel.guerrero@multiva.com.mx</t>
  </si>
  <si>
    <t>ELIA BEATRIZ GARCIA GAMBOA</t>
  </si>
  <si>
    <t>DIRECTORA DE BANCA PRIVADA</t>
  </si>
  <si>
    <t>beatriz.garcia@multiva.com.mx</t>
  </si>
  <si>
    <t>LETICIA TELLEZ AVILA</t>
  </si>
  <si>
    <t>leticia.tellez@multiva.com.mx</t>
  </si>
  <si>
    <t>LUIS CARLOS HUERTA DURAN</t>
  </si>
  <si>
    <t>luis.huerta@multiva.com.mx</t>
  </si>
  <si>
    <t>ELIAS ANTONIO PADILLA PASAGALI</t>
  </si>
  <si>
    <t>elias.padilla@multiva.com.mx</t>
  </si>
  <si>
    <t>MARCELA FARIAS PEDRAZA</t>
  </si>
  <si>
    <t>SUBDIRECTORA DE BANCA PRIVADA</t>
  </si>
  <si>
    <t>marcela.farias@multiva.com.mx</t>
  </si>
  <si>
    <t>LUISA FERNANDA SORIA MERA</t>
  </si>
  <si>
    <t>luisa.soria@multiva.com.mx</t>
  </si>
  <si>
    <t>MARIA ANGELICA ROBLES GONZALEZ</t>
  </si>
  <si>
    <t>angelica.robles@multiva.com.mx</t>
  </si>
  <si>
    <t>RAUL NIETO ZETTER</t>
  </si>
  <si>
    <t>raul.nieto@multiva.com.mx</t>
  </si>
  <si>
    <t>JADIHEL PIMENTEL DOMINGUEZ</t>
  </si>
  <si>
    <t>jadihel.pimentel@multiva.com.mx</t>
  </si>
  <si>
    <t>BERNARDO VALADEZ BENITEZ</t>
  </si>
  <si>
    <t>bernardo.valadez@multiva.com.mx</t>
  </si>
  <si>
    <t>MARIA DEL ROSARIO ALVAREZ BADILLO</t>
  </si>
  <si>
    <t>rosario.alvarez@multiva.com.mx</t>
  </si>
  <si>
    <t>ERIKA DEL CARMEN OROPEZA PIÑON</t>
  </si>
  <si>
    <t>EJECUTIVO DE APOYO</t>
  </si>
  <si>
    <t>erika.oropeza@multiva.com.mx</t>
  </si>
  <si>
    <t>ISAAC LEONARDO GONZALEZ HERNANDEZ</t>
  </si>
  <si>
    <t>isaac.gonzalez@multiva.com.mx</t>
  </si>
  <si>
    <t>IMANOL TRUJILLO SIERRA</t>
  </si>
  <si>
    <t>imanol.trujillo@multiva.com.mx</t>
  </si>
  <si>
    <t>ALEJANDRO SUAREZ ORTIZ</t>
  </si>
  <si>
    <t>alejandro.suarez@multiva.com.mx</t>
  </si>
  <si>
    <t>MARIA NOHEMI SANCHEZ OLGUIN</t>
  </si>
  <si>
    <t>nohemi.sanchez@multiva.com.mx</t>
  </si>
  <si>
    <t>SARA ADRIANA VALERDI SANCHEZ</t>
  </si>
  <si>
    <t>adriana.valerdi@multiva.com.mx</t>
  </si>
  <si>
    <t>ALEJANDRO VALENCIA AVILA</t>
  </si>
  <si>
    <t>alejandro.valencia@multiva.com.mx</t>
  </si>
  <si>
    <t>TAMARA CABALLERO VELASCO</t>
  </si>
  <si>
    <t>DIRECTORA GENERAL BANCO</t>
  </si>
  <si>
    <t>DIRECCION GENERAL BANCO</t>
  </si>
  <si>
    <t>tamara.caballero@multiva.com.mx</t>
  </si>
  <si>
    <t>SAMANTA LIZETH VERA ARCOS</t>
  </si>
  <si>
    <t>ASISTENTE DE DIRECCION</t>
  </si>
  <si>
    <t>samanta.vera@multiva.com.mx</t>
  </si>
  <si>
    <t>CESAR ALEJANDRO JIMENEZ MARTINEZ</t>
  </si>
  <si>
    <t>CHOFER DE DIRECCION</t>
  </si>
  <si>
    <t>HECTOR ENRIQUE CAMPOS FLORES</t>
  </si>
  <si>
    <t>CHIEF OF STAFF BANCO</t>
  </si>
  <si>
    <t>hector.campos@multiva.com.mx</t>
  </si>
  <si>
    <t>ALFREDO IVAN RICHARD SANTOYO</t>
  </si>
  <si>
    <t>DIRECTOR EJECUTIVO DE TESORERIA</t>
  </si>
  <si>
    <t>DIRECCION TESORERIA</t>
  </si>
  <si>
    <t>alfredo.richard@multiva.com.mx</t>
  </si>
  <si>
    <t>BRAYAN GABRIEL DE LA ROSA MENDOZA</t>
  </si>
  <si>
    <t>SUBDIRECTOR TESORERIA INTERNACIONAL</t>
  </si>
  <si>
    <t>brayan.delarosa@multiva.com.mx</t>
  </si>
  <si>
    <t>JUAN SALVADOR MARTINEZ LOPEZ</t>
  </si>
  <si>
    <t>DIRECTOR OPERACION DE BALANCE</t>
  </si>
  <si>
    <t>salvador.martinez@multiva.com.mx</t>
  </si>
  <si>
    <t>ROBERTO BRIBIESCA GUERRERO</t>
  </si>
  <si>
    <t>roberto.bribiesca@multiva.com.mx</t>
  </si>
  <si>
    <t>EDGAR VILLAGOMEZ TRUEBA</t>
  </si>
  <si>
    <t>edgar.villagomez@multiva.com.mx</t>
  </si>
  <si>
    <t>FRANCISCO AMAURI MAGAÑA OROPEZA</t>
  </si>
  <si>
    <t>amauri.magana@multiva.com.mx</t>
  </si>
  <si>
    <t>PAMELA RUIZ ZARCO</t>
  </si>
  <si>
    <t>GERENTE DE GESTION BALANCE</t>
  </si>
  <si>
    <t>pamela.rzarco@multiva.com.mx</t>
  </si>
  <si>
    <t>JORGE ARTURO GIORGANA MORENO</t>
  </si>
  <si>
    <t>DIRECTOR EJECUTIVO DE MERCADOS GLOBALES</t>
  </si>
  <si>
    <t>MERCADOS GLOBALES</t>
  </si>
  <si>
    <t>jorge.giorgana@multiva.com.mx</t>
  </si>
  <si>
    <t>ARTURO FLORENCIO HERNANDEZ ALVAREZ</t>
  </si>
  <si>
    <t>SUBDIRECTOR DE MERCADO DE DINERO Y DERIVADOS</t>
  </si>
  <si>
    <t>arturo.hernandez@multiva.com.mx</t>
  </si>
  <si>
    <t>IRINA POBLETE ANGEL</t>
  </si>
  <si>
    <t>ESPECIALISTA MERCADO DE DINERO</t>
  </si>
  <si>
    <t>irina.poblete@multiva.com.mx</t>
  </si>
  <si>
    <t>HECTOR OSORIO IBAÑEZ</t>
  </si>
  <si>
    <t>SUBDIRECTOR DE MERCADO DE DINERO Y MESA CORPORATIVA</t>
  </si>
  <si>
    <t>hector.osorio@multiva.com.mx</t>
  </si>
  <si>
    <t>LEONARDO FLORES GALICIA</t>
  </si>
  <si>
    <t>DIRECTOR DE CAMBIOS</t>
  </si>
  <si>
    <t>leonardo.flores@multiva.com.mx</t>
  </si>
  <si>
    <t>RUTH DIAZ FERRIZ</t>
  </si>
  <si>
    <t>GERENTE OPERACIONES CAMBIARIAS</t>
  </si>
  <si>
    <t>ruth.diaz@multiva.com.mx</t>
  </si>
  <si>
    <t>ALMA GEORGINA ROMERO CASTRO</t>
  </si>
  <si>
    <t>ANALISTA OPERACIONES CAMBIARIAS</t>
  </si>
  <si>
    <t>alma.romero@multiva.com.mx</t>
  </si>
  <si>
    <t>RICARDO OLGUIN ARREOLA</t>
  </si>
  <si>
    <t>SUBDIRECTOR DE CENTRAL DE CAMBIOS</t>
  </si>
  <si>
    <t>Ricardo.olguin@multiva.com.mx</t>
  </si>
  <si>
    <t>SELENE BERENICE HEVIA HIDALGO</t>
  </si>
  <si>
    <t>GERENTE DE CENTRAL DE CAMBIOS</t>
  </si>
  <si>
    <t>selene.hevia@multiva.com.mx</t>
  </si>
  <si>
    <t>KARLA GABRIELA MEJIA DAVILA</t>
  </si>
  <si>
    <t>OPERADOR DE CAMBIOS JR</t>
  </si>
  <si>
    <t>karla.mejia@multiva.com.mx</t>
  </si>
  <si>
    <t>PAU MESSEGUER GALLY</t>
  </si>
  <si>
    <t>DIRECTOR EJECUTIVO DE ANALISIS ECONOMICO</t>
  </si>
  <si>
    <t>DIRECCION ANALISIS ECONOMICO</t>
  </si>
  <si>
    <t>pau.messeguer@multiva.com.mx</t>
  </si>
  <si>
    <t>SEBASTIAN ZARCO REYES</t>
  </si>
  <si>
    <t>sebastian.zarco@multiva.com.mx</t>
  </si>
  <si>
    <t>MARIA DEL CARMEN COSME HARFUSH</t>
  </si>
  <si>
    <t>ESPECIALISTA ANALISIS ECONOMICO</t>
  </si>
  <si>
    <t>maria.delcosme@multiva.com.mx</t>
  </si>
  <si>
    <t>JOSE ANTONIO MENDOZA NORIEGA</t>
  </si>
  <si>
    <t>DIRECTOR CORPORATIVO DE SEGURIDAD DE LA INFORMACION</t>
  </si>
  <si>
    <t>DIRECCION SEGURIDAD DE LA INFORMACION</t>
  </si>
  <si>
    <t>jose.mendoza@multiva.com.mx</t>
  </si>
  <si>
    <t>LISSETTE MORONES SANCHEZ</t>
  </si>
  <si>
    <t>SUBDIRECTORA DE GESTION DE CIBERCRISIS</t>
  </si>
  <si>
    <t>lissette.morones@multiva.com.mx</t>
  </si>
  <si>
    <t>CATALINA EDITH MENDOZA SOLORZANO</t>
  </si>
  <si>
    <t>GERENTE PCI Y PROYECTOS</t>
  </si>
  <si>
    <t>catalina.mendoza@multiva.com.mx</t>
  </si>
  <si>
    <t>EDGAR VALDOVINOS GONZALEZ</t>
  </si>
  <si>
    <t>SUBDIRECTOR DE CONSULTORIA CUMPLIMIENTO Y ARQUITECTURA</t>
  </si>
  <si>
    <t>edgar.valdovinos@multiva.com.mx</t>
  </si>
  <si>
    <t>JUAN CARLOS ROJAS HERRERA</t>
  </si>
  <si>
    <t>GERENTE DE RESPUESTA A INCIDENTES</t>
  </si>
  <si>
    <t>juan.rojas@multiva.com.mx</t>
  </si>
  <si>
    <t>ALFONSO IGNACIO CASTILLO REYES</t>
  </si>
  <si>
    <t>GERENTE DE ETHICAL HACKING</t>
  </si>
  <si>
    <t>alfonso.castillo@multiva.com.mx</t>
  </si>
  <si>
    <t>FRANCISCO JAVIER LEZAMA HERNANDEZ</t>
  </si>
  <si>
    <t>GERENTE SR DE CONTROL DE ACCESO</t>
  </si>
  <si>
    <t>francisco.lezama@multiva.com.mx</t>
  </si>
  <si>
    <t>JOCELYN ITZEL AGUILAR MARIN</t>
  </si>
  <si>
    <t>jocelyn.aguilar@multiva.com.mx</t>
  </si>
  <si>
    <t>LIZETH MARGARITA RIVERA JIMENEZ</t>
  </si>
  <si>
    <t>GERENTE DE GOBIERNO DE SEGURIDAD DE LA INFORMACION</t>
  </si>
  <si>
    <t>lizeth.rivera@multiva.com.mx</t>
  </si>
  <si>
    <t>MIGUEL ANGEL ALVARADO CASTELAN</t>
  </si>
  <si>
    <t>ESPECIALISTA SEGURIDAD DE LA INFORMACION</t>
  </si>
  <si>
    <t>miguel.alvarado@multiva.com.mx</t>
  </si>
  <si>
    <t>FERNANDO ALAMEDA JUAREZ</t>
  </si>
  <si>
    <t>GERENTE SR DE CUMPLIMIENTO DE SEGURIDAD (OFICIAL DE SEGURIDAD DE LA INFORMACION SPEI)</t>
  </si>
  <si>
    <t>fernando.alameda@multiva.com.mx</t>
  </si>
  <si>
    <t>FABIOLA MONDRAGON VILCHIS</t>
  </si>
  <si>
    <t>GERENTE DE CIBERRIESGOS</t>
  </si>
  <si>
    <t>fabiola.mondragon@multiva.com.mx</t>
  </si>
  <si>
    <t>GERARDO CORONA TERAN</t>
  </si>
  <si>
    <t>GERENTE SR DE PCI</t>
  </si>
  <si>
    <t>gerardo.corona@multiva.com.mx</t>
  </si>
  <si>
    <t>JAVIER GIL LICONA</t>
  </si>
  <si>
    <t>GERENTE SR DE CUMPLIMIENTO DE SEGURIDAD (OFICIAL DE SEGURIDAD DE LA INFORMACION SPID)</t>
  </si>
  <si>
    <t>javier.gil@multiva.com.mx</t>
  </si>
  <si>
    <t>MARCO ANTONIO TAMAYO ROJAS</t>
  </si>
  <si>
    <t>GERENTE SR DE GOBIERNO DE SEGURIDAD</t>
  </si>
  <si>
    <t>marco.tamayo@multiva.com.mx</t>
  </si>
  <si>
    <t>BRUNO LUIS CARLOS AGUILAR AREVALO</t>
  </si>
  <si>
    <t>DGA DE CREDITO Y OPERACIONES</t>
  </si>
  <si>
    <t>DIRECCION CREDITO Y OPERACIONES</t>
  </si>
  <si>
    <t>bruno.aguilar@multiva.com.mx</t>
  </si>
  <si>
    <t>ROSA MARIA PERALTA VILLALOBOS</t>
  </si>
  <si>
    <t>rosa.peralta@multiva.com.mx</t>
  </si>
  <si>
    <t>ANGELICA PATRICIA ACEVEDO MONROY</t>
  </si>
  <si>
    <t>DIRECTORA DE PROCESOS Y PROYECTOS</t>
  </si>
  <si>
    <t>angelica.acevedo@multiva.com.mx</t>
  </si>
  <si>
    <t>JAVIER SANCHEZ BURES</t>
  </si>
  <si>
    <t>DIRECTOR DE UNIDAD DE ANALISIS Y SEGUIMIENTO DE PROYECTOS (UASP) DE CREDITO</t>
  </si>
  <si>
    <t>javier.sanchez@multiva.com.mx</t>
  </si>
  <si>
    <t>JOSE LUIS GRANADOS FLORES</t>
  </si>
  <si>
    <t>ESPECIALISTA UASP</t>
  </si>
  <si>
    <t>josel.granados@multiva.com.mx</t>
  </si>
  <si>
    <t>LUIS FERNANDO NUÑEZ ZAVALZA</t>
  </si>
  <si>
    <t>SUBDIRECTOR UASP</t>
  </si>
  <si>
    <t>luis.nunez@multiva.com.mx</t>
  </si>
  <si>
    <t>MAX KEVIN GAMA ARTEAGA</t>
  </si>
  <si>
    <t>GERENTE UASP</t>
  </si>
  <si>
    <t>max.gama@multiva.com.mx</t>
  </si>
  <si>
    <t>IRVING URCID CRUZ</t>
  </si>
  <si>
    <t>GERENTE UASP (INFRAESTRUCTURA)</t>
  </si>
  <si>
    <t>irving.urcid@multiva.com.mx</t>
  </si>
  <si>
    <t>CARLOS CORTES ALVAREZ</t>
  </si>
  <si>
    <t>DIRECTOR JURIDICO CONTENCIOSO</t>
  </si>
  <si>
    <t>carlos.cortes@multiva.com.mx</t>
  </si>
  <si>
    <t>NORMA LORENA BAEZ SANCHEZ</t>
  </si>
  <si>
    <t>ANALISTA ADMINISTRATIVO</t>
  </si>
  <si>
    <t>norma.baez@multiva.com.mx</t>
  </si>
  <si>
    <t>NALLELI SALAZAR CRUZ</t>
  </si>
  <si>
    <t>GERENTE JURIDICO CONTENCIOSO</t>
  </si>
  <si>
    <t>nalleli.salazar@multiva.com.mx</t>
  </si>
  <si>
    <t>ROLANDO ORTIZ ORTIZ</t>
  </si>
  <si>
    <t>SUBDIRECTOR DE WORK OUT</t>
  </si>
  <si>
    <t>rolando.ortiz@multiva.com.mx</t>
  </si>
  <si>
    <t>JULIA LLAMAS ORDUÑA</t>
  </si>
  <si>
    <t>SUBDIRECTORA JURIDICO CONTENCIOSO</t>
  </si>
  <si>
    <t>julia.llamas@multiva.com.mx</t>
  </si>
  <si>
    <t>NURIA GISELA GARCIA GUTIERREZ</t>
  </si>
  <si>
    <t>nuria.garcia@multiva.com.mx</t>
  </si>
  <si>
    <t>BENJAMIN SANCHEZ CORZO</t>
  </si>
  <si>
    <t>DIRECTOR EJECUTIVO DE SEGUIMIENTO DE CREDITO</t>
  </si>
  <si>
    <t>benjamin.sanchez@multiva.com.mx</t>
  </si>
  <si>
    <t>JAVIER AYALA PAUL</t>
  </si>
  <si>
    <t>SUBDIRECTOR CALIFICACION DE CARTERA</t>
  </si>
  <si>
    <t>javier.ayala@multiva.com.mx</t>
  </si>
  <si>
    <t>JOSE BLADIMIR RUIZ UGALDE</t>
  </si>
  <si>
    <t>SUBDIRECTOR INGENIERIA APOYO AL CREDITO</t>
  </si>
  <si>
    <t>jose.ruiz@multiva.com.mx</t>
  </si>
  <si>
    <t>MARTIN ELISEO GUZMAN CORTES</t>
  </si>
  <si>
    <t>GERENTE DE CALIFICACION DE CARTERA</t>
  </si>
  <si>
    <t>martin.guzman@multiva.com.mx</t>
  </si>
  <si>
    <t>ROBERTO CARLOS GARCIA GUEVARA</t>
  </si>
  <si>
    <t>ESPECIALISTA DE CALIFICACION DE CARTERA</t>
  </si>
  <si>
    <t>roberto.garcia@multiva.com.mx</t>
  </si>
  <si>
    <t>ALEJANDRA MACIAS BENAVIDES</t>
  </si>
  <si>
    <t>DIRECTORA CONTENCION DE RIESGO</t>
  </si>
  <si>
    <t>alejandra.macias@multiva.com.mx</t>
  </si>
  <si>
    <t>ERICK ABRAHAM MORENO ACOSTA</t>
  </si>
  <si>
    <t>GERENTE CONTENCION DE RIESGOS</t>
  </si>
  <si>
    <t>erick.moreno@multiva.com.mx</t>
  </si>
  <si>
    <t>CAROLINA MARTINEZ MEZA</t>
  </si>
  <si>
    <t>carolina.martinez@multiva.com.mx</t>
  </si>
  <si>
    <t>LUZ ALICIA MINJAREZ FEREZ</t>
  </si>
  <si>
    <t>SUBDIRECTORA DE MESA CONTROL DE CREDITO</t>
  </si>
  <si>
    <t>luz.minjarez@multiva.com.mx</t>
  </si>
  <si>
    <t>RODRIGO JOEL HERNANDEZ ALCANTAR</t>
  </si>
  <si>
    <t>ESPECIALISTA SEGUIMIENTO DE CREDITO</t>
  </si>
  <si>
    <t>rodrigo.hernandez@multiva.com.mx</t>
  </si>
  <si>
    <t>MARTHA PERALTA GARCIA</t>
  </si>
  <si>
    <t>martha.peralta@multiva.com.mx</t>
  </si>
  <si>
    <t>ALBERTO RAMIREZ CARMONA</t>
  </si>
  <si>
    <t>COORDINADOR DE GESTION DOCUMENTAL</t>
  </si>
  <si>
    <t>alberto.ramirez@multiva.com.mx</t>
  </si>
  <si>
    <t>DIANA ABIGAIL SOTO CRUZ</t>
  </si>
  <si>
    <t>AUXILIAR DE CREDITO</t>
  </si>
  <si>
    <t>diana.soto@multiva.com.mx</t>
  </si>
  <si>
    <t>CLAUDIA IVET GONZALEZ SEGOVIA</t>
  </si>
  <si>
    <t>claudia.gonzalez@multiva.com.mx</t>
  </si>
  <si>
    <t>MIGUEL ANGEL CHAVEZ RANGEL</t>
  </si>
  <si>
    <t>GERENTE DE MESA DE CONTROL DE CREDITO</t>
  </si>
  <si>
    <t>miguel.chavez@multiva.com.mx</t>
  </si>
  <si>
    <t>DIANA GABRIELA OLGUIN GUERRERO</t>
  </si>
  <si>
    <t>diana.olguin@multiva.com.mx</t>
  </si>
  <si>
    <t>MARINO MENDEZ PRIETO</t>
  </si>
  <si>
    <t>GERENTE DE MESA DE CONTROL CREDITO FIRA</t>
  </si>
  <si>
    <t>marino.mendez@multiva.com.mx</t>
  </si>
  <si>
    <t>DANIEL EDSON BERNAL PEREZ</t>
  </si>
  <si>
    <t>ANALISTA DE MESA DE CONTROL CREDITO</t>
  </si>
  <si>
    <t>daniel.bernal@multiva.com.mx</t>
  </si>
  <si>
    <t>RODRIGO GONZALEZ HERRERA</t>
  </si>
  <si>
    <t>rodrigo.gonzalez@multiva.com.mx</t>
  </si>
  <si>
    <t>KARINA AIDEE CASILLAS QUIJADA</t>
  </si>
  <si>
    <t>karina.casillas@multiva.com.mx</t>
  </si>
  <si>
    <t>VICTOR HUGO PEÑA RAMIREZ</t>
  </si>
  <si>
    <t>victor.pena@multiva.com.mx</t>
  </si>
  <si>
    <t>SURI JAEL NAVARRO DE LA CRUZ</t>
  </si>
  <si>
    <t>suri.navarro@multiva.com.mx</t>
  </si>
  <si>
    <t>DIANA DE LA ROSA ALAMILLA</t>
  </si>
  <si>
    <t>diana.delarosa@multiva.com.mx</t>
  </si>
  <si>
    <t>IVAN RAMIREZ FLORES</t>
  </si>
  <si>
    <t>ANALISTA DE CREDITO JR</t>
  </si>
  <si>
    <t>ivan.ramirez@multiva.com.mx</t>
  </si>
  <si>
    <t>DIEGO MOISES LOPEZ ALARCON</t>
  </si>
  <si>
    <t>AUXILIAR DE ATENCION BROKERS</t>
  </si>
  <si>
    <t>diego.lopez@multiva.com.mx</t>
  </si>
  <si>
    <t>BEATRIZ DE LA CRUZ HERNANDEZ</t>
  </si>
  <si>
    <t>beatriz.delacruz@multiva.com.mx</t>
  </si>
  <si>
    <t>MIGUEL JAIR CHAVEZ INCLAN</t>
  </si>
  <si>
    <t>miguel.chavezi@multiva.com.mx</t>
  </si>
  <si>
    <t>JUAN PABLO RICART RAMIREZ</t>
  </si>
  <si>
    <t>juan.ricart@multiva.com.mx</t>
  </si>
  <si>
    <t>JOSE ANGEL ROQUE BAUTISTA</t>
  </si>
  <si>
    <t>COORDINADOR DE ATENCION DE BROKERS</t>
  </si>
  <si>
    <t>jose.roque@multiva.com.mx</t>
  </si>
  <si>
    <t>LUIS EDUARDO MUÑOZ CARBALLO</t>
  </si>
  <si>
    <t>luis.munoz@multiva.com.mx</t>
  </si>
  <si>
    <t>NESTOR DIDIER CARBAJAL SERRANO</t>
  </si>
  <si>
    <t>nestor.carbajal@multiva.com.mx</t>
  </si>
  <si>
    <t>MIRIAM CAYETANO RODRIGUEZ</t>
  </si>
  <si>
    <t>miriam.cayetano@multiva.com.mx</t>
  </si>
  <si>
    <t>EMMA VICTORIA ESCAMILLA PEREZ</t>
  </si>
  <si>
    <t>emma.escamilla@multiva.com.mx</t>
  </si>
  <si>
    <t>DIANA PONCE POLICARPO</t>
  </si>
  <si>
    <t>diana.ponce@multiva.com.mx</t>
  </si>
  <si>
    <t>DANIEL QUEZADA MARTINEZ</t>
  </si>
  <si>
    <t>daniel.quezada@multiva.com.mx</t>
  </si>
  <si>
    <t>GEOVANNY RODRIGUEZ PEREZ</t>
  </si>
  <si>
    <t>geovanny.rodriguez@multiva.com.mx</t>
  </si>
  <si>
    <t>BRANDON GONZALEZ GACHUZO</t>
  </si>
  <si>
    <t>brandon.gonzalezg@multiva.com.mx</t>
  </si>
  <si>
    <t>MARIA FERNANDA PADILLA PEREZ</t>
  </si>
  <si>
    <t>maria.padilla@multiva.com.mx</t>
  </si>
  <si>
    <t>JOSE LUIS SANCHEZ PEÑA</t>
  </si>
  <si>
    <t>jose.spena@multiva.com.mx</t>
  </si>
  <si>
    <t>SILVANA DOLORES PEREZ POZOS</t>
  </si>
  <si>
    <t>silvana.perez@multiva.com.mx</t>
  </si>
  <si>
    <t>OMAR DE JESUS BENITEZ ISLAS</t>
  </si>
  <si>
    <t>omar.benitez@multiva.com.mx</t>
  </si>
  <si>
    <t>JUAN JOSE HERNANDEZ GUTIERREZ</t>
  </si>
  <si>
    <t>juanjose.hernandez@multiva.com.mx</t>
  </si>
  <si>
    <t>SAUL HERNANDEZ TERRONES</t>
  </si>
  <si>
    <t>DIRECTOR CONTENCION RIESGO DE CREDITO</t>
  </si>
  <si>
    <t>saul.hernandez@multiva.com.mx</t>
  </si>
  <si>
    <t>FABIOLA ROMERO RODRIGUEZ</t>
  </si>
  <si>
    <t>fabiola.romero@multiva.com.mx</t>
  </si>
  <si>
    <t>CARLOS JULIO CAPDEVILA CASTROCORCUERA</t>
  </si>
  <si>
    <t>DIRECTOR RECUPERACION DE CARTERA</t>
  </si>
  <si>
    <t>carlos.capdevila@multiva.com.mx</t>
  </si>
  <si>
    <t>ERICK DANIEL MOLINA MALDONADO</t>
  </si>
  <si>
    <t>ESPECIALISTA DATA SISTEM</t>
  </si>
  <si>
    <t>erick.molina@multiva.com.mx</t>
  </si>
  <si>
    <t>ABRAHAM BARRIENTOS VELAZQUEZ</t>
  </si>
  <si>
    <t>SUBDIRECTOR DE RECUPERACION DE CARTERA</t>
  </si>
  <si>
    <t>abraham.barrientos@multiva.com.mx</t>
  </si>
  <si>
    <t>EDUARDO ALVA VALENCIA</t>
  </si>
  <si>
    <t>eduardo.alva@multiva.com.mx</t>
  </si>
  <si>
    <t>ELPIDIO VAZQUEZ VAZQUEZ</t>
  </si>
  <si>
    <t>EJECUTIVO SR DE RECUPERACION CARTERA</t>
  </si>
  <si>
    <t>elpidio.vazquez@multiva.com.mx</t>
  </si>
  <si>
    <t>ALBINO GREGORIO MARTINEZ</t>
  </si>
  <si>
    <t>GERENTE DE COBRANZA</t>
  </si>
  <si>
    <t>albino.gregorio@multiva.com.mx</t>
  </si>
  <si>
    <t>DALIA CRUZ GARCIA</t>
  </si>
  <si>
    <t>EJECUTIVO DE BANCA AGROPECUARIA SR</t>
  </si>
  <si>
    <t>dalia.cruz@multiva.com.mx</t>
  </si>
  <si>
    <t>OSEIR JAVIER SOTO CID</t>
  </si>
  <si>
    <t>oseir.soto@multiva.com.mx</t>
  </si>
  <si>
    <t>DANIEL JUAREZ GARCIA</t>
  </si>
  <si>
    <t>DIRECTOR DE OPERACIONES</t>
  </si>
  <si>
    <t>daniel.juarez@multiva.com.mx</t>
  </si>
  <si>
    <t>BERNARDO MARTINEZ MORALES</t>
  </si>
  <si>
    <t>GERENTE AUTOMATIZACION</t>
  </si>
  <si>
    <t>bernardo.martinez@multiva.com.mx</t>
  </si>
  <si>
    <t>EDWIN ALEJANDRO CRUZ MENDOZA</t>
  </si>
  <si>
    <t>ANALISTA AUTOMATIZACION</t>
  </si>
  <si>
    <t>edwin.cruz@multiva.com.mx</t>
  </si>
  <si>
    <t>CARLOS ALBERTO HERNANDEZ GONZALEZ</t>
  </si>
  <si>
    <t>carlos.hgonzalez@multiva.com.mx</t>
  </si>
  <si>
    <t>YAZMIN MONSERRAT AGUIRRE CORTES</t>
  </si>
  <si>
    <t>yazmin.aguirre@multiva.com.mx</t>
  </si>
  <si>
    <t>GERARDO TORRES AGUILAR</t>
  </si>
  <si>
    <t>SUBDIRECTOR DE CALL CENTER</t>
  </si>
  <si>
    <t>gerardo.torres@multiva.com.mx</t>
  </si>
  <si>
    <t>WENDY VALERIA MORALES MOURET</t>
  </si>
  <si>
    <t>GERENTE DE CALL CENTER</t>
  </si>
  <si>
    <t>wendy.morales@multiva.com.mx</t>
  </si>
  <si>
    <t>LAURA ANGELICA QUIÑONES GURROLA</t>
  </si>
  <si>
    <t>COORDINADOR DE CALL CENTER</t>
  </si>
  <si>
    <t>laura.quinones@multiva.com.mx</t>
  </si>
  <si>
    <t>ITZEL ALONDRA BARAJAS QUIROZ</t>
  </si>
  <si>
    <t>EJECUTIVO DE CALL CENTER</t>
  </si>
  <si>
    <t>itzel.barajas@multiva.com.mx</t>
  </si>
  <si>
    <t>KAREN KOHEL VAZQUEZ</t>
  </si>
  <si>
    <t>karen.kohel@multiva.com.mx</t>
  </si>
  <si>
    <t>DAIRA VALERIA MILLAN PEREZ</t>
  </si>
  <si>
    <t>daira.millan@multiva.com.mx</t>
  </si>
  <si>
    <t>KARLA ALEXIA BRAVO TAPIA</t>
  </si>
  <si>
    <t>EJECUTIVO PREMIER DE CALL CENTER</t>
  </si>
  <si>
    <t>karla.bravo@multiva.com.mx</t>
  </si>
  <si>
    <t>FRANCISCO AARON CABALLERO CAYETANO</t>
  </si>
  <si>
    <t>francisco.caballero@multiva.com.mx</t>
  </si>
  <si>
    <t>GABRIELA LIZET GARCIA ROBLES</t>
  </si>
  <si>
    <t>gabrielal.garcia@multiva.com.mx</t>
  </si>
  <si>
    <t>MARIA TERESA HERNANDEZ MEDINA</t>
  </si>
  <si>
    <t>mariat.hernandez@multiva.com.mx</t>
  </si>
  <si>
    <t>JANETH TORRES ALVAREZ</t>
  </si>
  <si>
    <t>janeth.torres@multiva.com.mx</t>
  </si>
  <si>
    <t>KARINA MERCEDES ALARCON ZEPEDA</t>
  </si>
  <si>
    <t>karina.alarcon@multiva.com.mx</t>
  </si>
  <si>
    <t>YAZMIN ALEJANDRA SANABRIA BAEZA</t>
  </si>
  <si>
    <t>yazmin.sanabria@multiva.com.mx</t>
  </si>
  <si>
    <t>ALEXIS CASTRO ESPINOSA</t>
  </si>
  <si>
    <t>alexis.castro@multiva.com.mx</t>
  </si>
  <si>
    <t>ROBERTO ANTONIO ROBLES CARBAJAL</t>
  </si>
  <si>
    <t>roberto.robles@multiva.com.mx</t>
  </si>
  <si>
    <t>GABRIEL ALEJANDRO PONCE MIRANDA</t>
  </si>
  <si>
    <t>gabriel.ponce@multiva.com.mx</t>
  </si>
  <si>
    <t>CUAUHTLAHUITZIN REGINA ACOSTA CASTILLO</t>
  </si>
  <si>
    <t>regina.acosta@multiva.com.mx</t>
  </si>
  <si>
    <t>YAMILET VILLEGAS MARTINEZ</t>
  </si>
  <si>
    <t>yamilet.villegas@multiva.com.mx</t>
  </si>
  <si>
    <t>ILSE AILY ESPINOSA GARAY</t>
  </si>
  <si>
    <t>ilse.espinosa@multiva.com.mx</t>
  </si>
  <si>
    <t>SERGIO CORIA CRUZ</t>
  </si>
  <si>
    <t>sergio.cruz@multiva.com.mx</t>
  </si>
  <si>
    <t>DULCE ESPERANZA ALMAZAN ROSALES</t>
  </si>
  <si>
    <t>dulce.almazan@multiva.com.mx</t>
  </si>
  <si>
    <t>JUAN CARLOS MALAGON FARFAN</t>
  </si>
  <si>
    <t>juan.malagon@multiva.com.mx</t>
  </si>
  <si>
    <t>JESSICA VANESSA MURILLO RODRIGUEZ</t>
  </si>
  <si>
    <t>jessica.murillo@multiva.com.mx</t>
  </si>
  <si>
    <t>XIMENA GARCIA ROSAS</t>
  </si>
  <si>
    <t>ximena.garcia@multiva.com.mx</t>
  </si>
  <si>
    <t>RICARDO RAMIREZ OLMOS</t>
  </si>
  <si>
    <t>ricardo.ramirez@multiva.com.mx</t>
  </si>
  <si>
    <t>KATHERINE DANIELA LARA MORENO</t>
  </si>
  <si>
    <t>katherine.lara@multiva.com.mx</t>
  </si>
  <si>
    <t>GLORIA EUGENIA MUÑOZ CINTA</t>
  </si>
  <si>
    <t>gloria.munoz@multiva.com.mx</t>
  </si>
  <si>
    <t>LIZETH HERNANDEZ HERNANDEZ</t>
  </si>
  <si>
    <t>lizeth.hernandez@multiva.com.mx</t>
  </si>
  <si>
    <t>JORGE ALFREDO FLORES DEL RIO</t>
  </si>
  <si>
    <t>jorge.flores@multiva.com.mx</t>
  </si>
  <si>
    <t>NALLELY RODRIGUEZ PALAFOX</t>
  </si>
  <si>
    <t>nallely.rodriguez@multiva.com.mx</t>
  </si>
  <si>
    <t>ANTOLIN ALBERTO MARTINEZ RAMIREZ</t>
  </si>
  <si>
    <t>antolin.martinez@multiva.com.mx</t>
  </si>
  <si>
    <t>LAURA IRENE CAMPOS LOPEZ</t>
  </si>
  <si>
    <t>laura.campos@multiva.com.mx</t>
  </si>
  <si>
    <t>LILIAN LUCIA BALLESTEROS GARCIA</t>
  </si>
  <si>
    <t>lilian.ballesteros@multiva.com.mx</t>
  </si>
  <si>
    <t>FRANCISCO JAVIER AGUILAR REYES</t>
  </si>
  <si>
    <t>francisco.aguilar@multiva.com.mx</t>
  </si>
  <si>
    <t>BLANCA CRISTINA ARTEAGA FALCON</t>
  </si>
  <si>
    <t>blanca.arteaga@multiva.com.mx</t>
  </si>
  <si>
    <t>BERENICE MARTINEZ MORA</t>
  </si>
  <si>
    <t>berenice.martinez@multiva.com.mx</t>
  </si>
  <si>
    <t>JORDAN URIEL AYALA GARCIA</t>
  </si>
  <si>
    <t>jordan.ayala@multiva.com.mx</t>
  </si>
  <si>
    <t>MARIA DE LOURDES BERNAL SANCHEZ</t>
  </si>
  <si>
    <t>maria.bernal@multiva.com.mx</t>
  </si>
  <si>
    <t>OSCAR BRITO HERRERA</t>
  </si>
  <si>
    <t>oscar.brito@multiva.com.mx</t>
  </si>
  <si>
    <t>NANCY ELIZABETH ANSALDO HERNANDEZ</t>
  </si>
  <si>
    <t>nancy.ansaldo@multiva.com.mx</t>
  </si>
  <si>
    <t>GABRIELA ALEJANDRA REGALADO MAGOS</t>
  </si>
  <si>
    <t>gabriela.regalado@multiva.com.mx</t>
  </si>
  <si>
    <t>LINDA CONSTANZA RODARTE CARTAGENA</t>
  </si>
  <si>
    <t>linda.rodarte@multiva.com.mx</t>
  </si>
  <si>
    <t>ANAHI MARIELA YAÑEZ REYES</t>
  </si>
  <si>
    <t>anahi.yanez@multiva.com.mx</t>
  </si>
  <si>
    <t>PAULINA DEL CARMEN PEREZ DOMINGUEZ</t>
  </si>
  <si>
    <t>paulina.perez@multiva.com.mx</t>
  </si>
  <si>
    <t>NATHALI NASHELLY ALVA CONTRERAS</t>
  </si>
  <si>
    <t>nathali.alva@multiva.com.mx</t>
  </si>
  <si>
    <t>CARLOS EFREN CASTILLO GARCIA</t>
  </si>
  <si>
    <t>SUBDIRECTOR DE COMERCIO ELECTRONICO</t>
  </si>
  <si>
    <t>carlos.castillo@multiva.com.mx</t>
  </si>
  <si>
    <t>RENE CHAVARRIA NEGRON</t>
  </si>
  <si>
    <t>SUBDIRECTOR DE OPERACION DE SUCURSALES</t>
  </si>
  <si>
    <t>rene.chavarria@multiva.com.mx</t>
  </si>
  <si>
    <t>ELIA VERONICA MEZA LOPEZ</t>
  </si>
  <si>
    <t>GERENTE GUARDAVALORES Y NOMINA</t>
  </si>
  <si>
    <t>veronica.meza@multiva.com.mx</t>
  </si>
  <si>
    <t>YESSENIA HERNANDEZ GONZALEZ</t>
  </si>
  <si>
    <t>ANALISTA DE OPERACIONES</t>
  </si>
  <si>
    <t>yessenia.hernandez@multiva.com.mx</t>
  </si>
  <si>
    <t>VALENTIN SANTACRUZ DE JESUS</t>
  </si>
  <si>
    <t>GERENTE DE CAJA GENERAL</t>
  </si>
  <si>
    <t>valentin.santacruz@multiva.com.mx</t>
  </si>
  <si>
    <t>FRANCISCO OMAR BAUTISTA HERNANDEZ</t>
  </si>
  <si>
    <t>ANALISTA DE CAJA GENERAL</t>
  </si>
  <si>
    <t>francisco.bautista@multiva.com.mx</t>
  </si>
  <si>
    <t>LIZBETH MARTINEZ MARTINEZ</t>
  </si>
  <si>
    <t>GERENTE CONTROL OPERATIVO SUCURSALES</t>
  </si>
  <si>
    <t>lizbeth.martinez@multiva.com.mx</t>
  </si>
  <si>
    <t>MAURICIO VAZQUEZ MORALES</t>
  </si>
  <si>
    <t>ANALISTA DE CONTROL OPERATIVO SUCURSALES</t>
  </si>
  <si>
    <t>mauricio.vazquez@multiva.com.mx</t>
  </si>
  <si>
    <t>SANDRA CRUZ MONTES</t>
  </si>
  <si>
    <t>sandra.cruz@multiva.com.mx</t>
  </si>
  <si>
    <t>EDMUNDO HERNANDEZ ACOSTA</t>
  </si>
  <si>
    <t>GERENTE DE SERVICIOS SIPARE</t>
  </si>
  <si>
    <t>edmundo.hernandez@multiva.com.mx</t>
  </si>
  <si>
    <t>MARTHA PRIEGO ROMERO</t>
  </si>
  <si>
    <t>SUBDIRECTORA DE OPERACIONES CARTERA COMERCIAL</t>
  </si>
  <si>
    <t>martha.priego@multiva.com.mx</t>
  </si>
  <si>
    <t>CESAR SANCHEZ RIVERA</t>
  </si>
  <si>
    <t>ANALISTA DE CARTERA DE FONDOS DE FOMENTO</t>
  </si>
  <si>
    <t>cesar.sanchez@multiva.com.mx</t>
  </si>
  <si>
    <t>JORGE AUGUSTO TECALCO LOBATO</t>
  </si>
  <si>
    <t>GERENTE CARTERA FONDOS DE FOMENTO</t>
  </si>
  <si>
    <t>jorge.tecalco@multiva.com.mx</t>
  </si>
  <si>
    <t>CLAUDIA IVETTE VAZQUEZ RODRIGUEZ</t>
  </si>
  <si>
    <t>claudia.vazquez@multiva.com.mx</t>
  </si>
  <si>
    <t>LESLIE CRUZ GALLARDO</t>
  </si>
  <si>
    <t>GERENTE CARTERA COMERCIAL Y CONSUMO</t>
  </si>
  <si>
    <t>leslie.cruz@multiva.com.mx</t>
  </si>
  <si>
    <t>ARELI CEBALLOS GARCIA</t>
  </si>
  <si>
    <t>areli.ceballos@multiva.com.mx</t>
  </si>
  <si>
    <t>MANUEL OLIVARES ALVARADO</t>
  </si>
  <si>
    <t>SUBDIRECTOR DE OPERACIONES PASIVAS</t>
  </si>
  <si>
    <t>manuel.olivares@multiva.com.mx</t>
  </si>
  <si>
    <t>CARLOS GONZALEZ PEÑA</t>
  </si>
  <si>
    <t>ANALISTA DE CONCILIACIONES</t>
  </si>
  <si>
    <t>carlos.gpena@multiva.com.mx</t>
  </si>
  <si>
    <t>ALFONSO MARTINEZ CUEVAS</t>
  </si>
  <si>
    <t>GERENTE DE TARJETAS DE DEBITO</t>
  </si>
  <si>
    <t>alfonso.martinez@multiva.com.mx</t>
  </si>
  <si>
    <t>URIEL EDUARDO RAMIREZ RAMIREZ</t>
  </si>
  <si>
    <t>ANALISTA DE TARJETA DE DEBITO</t>
  </si>
  <si>
    <t>uriel.ramirez@multiva.com.mx</t>
  </si>
  <si>
    <t>JUAN HUGO VALLE CERON</t>
  </si>
  <si>
    <t>GERENTE CONCILIACIONES</t>
  </si>
  <si>
    <t>juan.valle@multiva.com.mx</t>
  </si>
  <si>
    <t>DIEGO GARCIA SANTIAGO</t>
  </si>
  <si>
    <t>diego.gsantiago@multiva.com.mx</t>
  </si>
  <si>
    <t>ESTEBAN REYNA ZARATE</t>
  </si>
  <si>
    <t>GERENTE DE CAMARA DE COMPENSACIONES CECOBAN</t>
  </si>
  <si>
    <t>esteban.reyna@multiva.com.mx</t>
  </si>
  <si>
    <t>CARLOS ESCAMILLA ESQUIVEL</t>
  </si>
  <si>
    <t>ANALISTA DE CAMARA DE COMPENSACIONES</t>
  </si>
  <si>
    <t>carlos.escamilla@multiva.com.mx</t>
  </si>
  <si>
    <t>MIGUEL ANGEL HERNANDEZ FLORES</t>
  </si>
  <si>
    <t>miguel.hernandezf@multiva.com.mx</t>
  </si>
  <si>
    <t>TANIA ODETTE SOTO PLATA</t>
  </si>
  <si>
    <t>tania.soto@multiva.com.mx</t>
  </si>
  <si>
    <t>JUAN CARLOS VILLEDAS MORALES</t>
  </si>
  <si>
    <t>juan.villedas@multiva.com.mx</t>
  </si>
  <si>
    <t>ICASEL JUAREZ MARTINEZ</t>
  </si>
  <si>
    <t>GERENTE DE ACLARACIONES</t>
  </si>
  <si>
    <t>icasel.juarez@multiva.com.mx</t>
  </si>
  <si>
    <t>JORGE ANTONIO HERNANDEZ SOTO</t>
  </si>
  <si>
    <t>ANALISTA DE ACLARACIONES</t>
  </si>
  <si>
    <t>jorge.hernandez@multiva.com.mx</t>
  </si>
  <si>
    <t>FABIOLA GOMEZ JINEZ</t>
  </si>
  <si>
    <t>fabiola.gomez@multiva.com.mx</t>
  </si>
  <si>
    <t>NANCY YOSABED GALLARDO VILLEGAS</t>
  </si>
  <si>
    <t>nancy.gallardo@multiva.com.mx</t>
  </si>
  <si>
    <t>JAVIER ADRIAN GONZALEZ MERINO</t>
  </si>
  <si>
    <t>javier.gonzalez@multiva.com.mx</t>
  </si>
  <si>
    <t>VICTOR GERVACIO BALTAZAR</t>
  </si>
  <si>
    <t>SUBDIRECTOR DE ATMS Y TPVS</t>
  </si>
  <si>
    <t>victor.gervacio@multiva.com.mx</t>
  </si>
  <si>
    <t>DAFNE ANAID JIMENEZ VANEGAS</t>
  </si>
  <si>
    <t>ANALISTA DE ADQUIRENTE</t>
  </si>
  <si>
    <t>dafne.jimenez@multiva.com.mx</t>
  </si>
  <si>
    <t>UCIEL NOE RIOS BALLEZA</t>
  </si>
  <si>
    <t>GERENTE DE APLICACIONES Y SOPORTE ATM</t>
  </si>
  <si>
    <t>uciel.rios@multiva.com.mx</t>
  </si>
  <si>
    <t>JACQUELINE FRAGOSO JARAMILLO</t>
  </si>
  <si>
    <t>GERENTE DE EFECTIVO Y CONCILIACION ATM</t>
  </si>
  <si>
    <t>jacqueline.fragoso@multiva.com.mx</t>
  </si>
  <si>
    <t>GUSTAVO ALEXIS RESENDIZ GUTIERREZ</t>
  </si>
  <si>
    <t>ANALISTA DE COMPENSACION ATM</t>
  </si>
  <si>
    <t>gustavo.resendiz@multiva.com.mx</t>
  </si>
  <si>
    <t>MARIANA HELENA FLORES ALMAZAN</t>
  </si>
  <si>
    <t>GERENTE DE ADMON. Y FACTURACION ATMS Y TPVS</t>
  </si>
  <si>
    <t>mariana.flores@multiva.com.mx</t>
  </si>
  <si>
    <t>SHEILA REYNA OLVERA</t>
  </si>
  <si>
    <t>ANALISTA ATM</t>
  </si>
  <si>
    <t>sheila.reyna@multiva.com.mx</t>
  </si>
  <si>
    <t>BLANCA ESTELA MARTINEZ RINCON</t>
  </si>
  <si>
    <t>ANALISTA DE ADQUIRENTE TPV</t>
  </si>
  <si>
    <t>blanca.martinez@multiva.com.mx</t>
  </si>
  <si>
    <t>LUCILA LEONOR HERNANDEZ GONZALEZ</t>
  </si>
  <si>
    <t>lucila.hernandez@multiva.com.mx</t>
  </si>
  <si>
    <t>EDUARDO DORANTES ORDAZ</t>
  </si>
  <si>
    <t>ANALISTA DE ATM´S ALIANZAS</t>
  </si>
  <si>
    <t>eduardo.dorantes@multiva.com.mx</t>
  </si>
  <si>
    <t>BRENDA DIANA GOMEZ TORRES</t>
  </si>
  <si>
    <t>brenda.gomez@multiva.com.mx</t>
  </si>
  <si>
    <t>VICTOR SAAVEDRA GUERRA</t>
  </si>
  <si>
    <t>GERENTE DE OPERACION ATM</t>
  </si>
  <si>
    <t>victor.saavedra@multiva.com.mx</t>
  </si>
  <si>
    <t>JOSE LUIS CABALLERO ZUÑIGA</t>
  </si>
  <si>
    <t>ANALISTA DE MONITOREO DE ATM</t>
  </si>
  <si>
    <t>jose.caballero@multiva.com.mx</t>
  </si>
  <si>
    <t>VICTOR SALVADOR CERVANTES GONZALEZ</t>
  </si>
  <si>
    <t>victor.cervantes@multiva.com.mx</t>
  </si>
  <si>
    <t>EMMANUEL FLORES GARCIA</t>
  </si>
  <si>
    <t>emmanuel.flores@multiva.com.mx</t>
  </si>
  <si>
    <t>FERNANDA ALDONZA GONZALEZ SALAZAR</t>
  </si>
  <si>
    <t>fernanda.gonzalez@multiva.com.mx</t>
  </si>
  <si>
    <t>PABLO VICENTE FELICIANO PADILLA</t>
  </si>
  <si>
    <t>pablo.feliciano@multiva.com.mx</t>
  </si>
  <si>
    <t>MARIA DE LOS ANGELES ORTEGA ARIAS</t>
  </si>
  <si>
    <t>mangeles.ortega@multiva.com.mx</t>
  </si>
  <si>
    <t>SERGIO ISAID BERMEO SOLORZANO</t>
  </si>
  <si>
    <t>sergio.bermeo@multiva.com.mx</t>
  </si>
  <si>
    <t>HECTOR ANDRES PIÑON CASORLA</t>
  </si>
  <si>
    <t>hector.pinon@multiva.com.mx</t>
  </si>
  <si>
    <t>ALBERTO JOASIR ALMEIDA ALMARAZ</t>
  </si>
  <si>
    <t>GERENTE DE ADQUIRENTE TPV</t>
  </si>
  <si>
    <t>alberto.almeida@multiva.com.mx</t>
  </si>
  <si>
    <t>LUIS ENRIQUE TIJERA ROBLES</t>
  </si>
  <si>
    <t>ANALISTA MESA DE CONTROL TPV</t>
  </si>
  <si>
    <t>luis.tijera@multiva.com.mx</t>
  </si>
  <si>
    <t>EDGAR ADAIR DE LIRA MENDOZA</t>
  </si>
  <si>
    <t>edgar.delira@multiva.com.mx</t>
  </si>
  <si>
    <t>CAROLINA PAOLA SANCHEZ OLMOS</t>
  </si>
  <si>
    <t>carolina.sanchez@multiva.com.mx</t>
  </si>
  <si>
    <t>JOSE MARTIN RUBIROSA ESCUDERO</t>
  </si>
  <si>
    <t>jose.rubirosa@multiva.com.mx</t>
  </si>
  <si>
    <t>ALEJANDRO ALVARADO MOLINA</t>
  </si>
  <si>
    <t>alejandro.alvarado@multiva.com.mx</t>
  </si>
  <si>
    <t>MIGUEL ANGEL HERNANDEZ URIBE</t>
  </si>
  <si>
    <t>miguela.hernandez@multiva.com.mx</t>
  </si>
  <si>
    <t>MARIA DE LA PAZ DE LA ROSA TORRES</t>
  </si>
  <si>
    <t>COORDINADOR DE MESA DE CONTROL TPV</t>
  </si>
  <si>
    <t>maria.delarosa@multiva.com.mx</t>
  </si>
  <si>
    <t>FABIOLA JOSEFINA GONZALEZ RODRIGUEZ</t>
  </si>
  <si>
    <t>fabiola.gonzalez@multiva.com.mx</t>
  </si>
  <si>
    <t>RAFAEL GARCIA ALVAREZ</t>
  </si>
  <si>
    <t>SUBDIRECTOR DE OPERACIONES GOBIERNO</t>
  </si>
  <si>
    <t>rafael.garcia@multiva.com.mx</t>
  </si>
  <si>
    <t>EMMA RUBI LARA MARTINEZ</t>
  </si>
  <si>
    <t>ANALISTA DE CREDITO EMPLEADOS GOB</t>
  </si>
  <si>
    <t>emma.lara@multiva.com.mx</t>
  </si>
  <si>
    <t>EDWIN ALEJANDRO ROMERO FLORES</t>
  </si>
  <si>
    <t>edwin.romero@multiva.com.mx</t>
  </si>
  <si>
    <t>LUIS ENRIQUE AGUILAR TORRES</t>
  </si>
  <si>
    <t>luis.aguilar@multiva.com.mx</t>
  </si>
  <si>
    <t>ELIAS BARRALES BARRALES</t>
  </si>
  <si>
    <t>elias.barrales@multiva.com.mx</t>
  </si>
  <si>
    <t>ARTURO MANZANO PEREZ</t>
  </si>
  <si>
    <t>arturo.manzano@multiva.com.mx</t>
  </si>
  <si>
    <t>XCHEL AARON SALAZAR OCAMPO</t>
  </si>
  <si>
    <t>xchel.salazar@multiva.com.mx</t>
  </si>
  <si>
    <t>JOANA CAROLINA CALDERON SANCHEZ</t>
  </si>
  <si>
    <t>joana.calderon@multiva.com.mx</t>
  </si>
  <si>
    <t>ROSA ISELA CHAVEZ DURAN</t>
  </si>
  <si>
    <t>COORDINADOR DE CONCILIACIONES Y COBRANZA</t>
  </si>
  <si>
    <t>isela.chavez@multiva.com.mx</t>
  </si>
  <si>
    <t>KATIA NUÑEZ MORENO</t>
  </si>
  <si>
    <t>DIRECTORA CONTROL DOCUMENTAL</t>
  </si>
  <si>
    <t>katia.nunez@multiva.com.mx</t>
  </si>
  <si>
    <t>JOSE ANTONIO VENEGAS ELIZALDE</t>
  </si>
  <si>
    <t>SUBDIRECTOR CONTROL DOCUMENTAL DIVISAS</t>
  </si>
  <si>
    <t>jose.venegas@multiva.com.mx</t>
  </si>
  <si>
    <t>PERLA MARIA MANZO SOTO</t>
  </si>
  <si>
    <t>ANALISTA CONTROL DOCUMENTAL</t>
  </si>
  <si>
    <t>perla.manzo@multiva.com.mx</t>
  </si>
  <si>
    <t>RAFAEL HERNANDEZ CALLEJAS</t>
  </si>
  <si>
    <t>SUBDIRECTOR CONTROL DOCUMENTAL</t>
  </si>
  <si>
    <t>rafael.hcallejas@multiva.com.mx</t>
  </si>
  <si>
    <t>TANIA FERNANDA SANCHEZ YAÑEZ</t>
  </si>
  <si>
    <t>tania.sanchez@multiva.com.mx</t>
  </si>
  <si>
    <t>CESAR EFRAIN CHAVEZ SAGRERO</t>
  </si>
  <si>
    <t>cesar.chavez@multiva.com.mx</t>
  </si>
  <si>
    <t>HUGO ROSALES NIEVES</t>
  </si>
  <si>
    <t>hugo.rosales@multiva.com.mx</t>
  </si>
  <si>
    <t>GUSTAVO SALAZAR CRUZ</t>
  </si>
  <si>
    <t>gustavo.salazar@multiva.com.mx</t>
  </si>
  <si>
    <t>FARANY DESIRETH PEDROZA ARRIAGA</t>
  </si>
  <si>
    <t>farany.pedroza@multiva.com.mx</t>
  </si>
  <si>
    <t>ERIKA DENIS JUAREZ RIVERA</t>
  </si>
  <si>
    <t>erika.juarez@multiva.com.mx</t>
  </si>
  <si>
    <t>JOSE JUAN MIRANDA MARTINEZ</t>
  </si>
  <si>
    <t>jose.miranda@multiva.com.mx</t>
  </si>
  <si>
    <t>SANDRA RITA RUIZ CASTAÑEDA</t>
  </si>
  <si>
    <t>GERENTE CONTROL DOCUMENTAL</t>
  </si>
  <si>
    <t>sandra.ruiz@multiva.com.mx</t>
  </si>
  <si>
    <t>LEONARDO HUMBERTO GARCIA DE LA LUZ</t>
  </si>
  <si>
    <t>leonardo.garcia@multiva.com.mx</t>
  </si>
  <si>
    <t>YAMEL VASQUEZ PEREZ</t>
  </si>
  <si>
    <t>yamel.vasquez@multiva.com.mx</t>
  </si>
  <si>
    <t>ABEL MARTINEZ LOPEZ</t>
  </si>
  <si>
    <t>abel.martinez@multiva.com.mx</t>
  </si>
  <si>
    <t>CRISTIAN BRAYAN LOPEZ VENCES</t>
  </si>
  <si>
    <t>cristian.lopez@multiva.com.mx</t>
  </si>
  <si>
    <t>MARIA HILDA FLORES PEREZ</t>
  </si>
  <si>
    <t>DIRECTORA MESA CONTROL FIDUCIARIO</t>
  </si>
  <si>
    <t>maria.flores@multiva.com.mx</t>
  </si>
  <si>
    <t>MANUEL ADRIAN VILLANUEVA MONDRAGON</t>
  </si>
  <si>
    <t>ANALISTA FIDUCIARIO</t>
  </si>
  <si>
    <t>manuel.villanueva@multiva.com.mx</t>
  </si>
  <si>
    <t>YENI VELAZQUEZ LEYVA</t>
  </si>
  <si>
    <t>yeni.velazquez@multiva.com.mx</t>
  </si>
  <si>
    <t>ERIKA DOMINGUEZ GONZALEZ</t>
  </si>
  <si>
    <t>ASISTENTE ADMINISTRATIVO</t>
  </si>
  <si>
    <t>erika.dominguez@multiva.com.mx</t>
  </si>
  <si>
    <t>CLAUDIA MARLENE CARRILLO GARCIA</t>
  </si>
  <si>
    <t>claudia.carrillo@multiva.com.mx</t>
  </si>
  <si>
    <t>VERONICA ELIZABETH RINCON MARTINEZ</t>
  </si>
  <si>
    <t>veronica.rincon@multiva.com.mx</t>
  </si>
  <si>
    <t>RAMON GARCIA MARTINEZ</t>
  </si>
  <si>
    <t>ramon.garcia@multiva.com.mx</t>
  </si>
  <si>
    <t>CRISTIAN JONATHAN GARCIA BLANCO</t>
  </si>
  <si>
    <t>ANALISTA FIDUCIARIO JR.</t>
  </si>
  <si>
    <t>cristian.garcia@multiva.com.mx</t>
  </si>
  <si>
    <t>ISAAC SANCHEZ RAMIREZ</t>
  </si>
  <si>
    <t>isaac.sanchez@multiva.com.mx</t>
  </si>
  <si>
    <t>SANDRA MONROY GUTIERREZ</t>
  </si>
  <si>
    <t>sandra.monroy@multiva.com.mx</t>
  </si>
  <si>
    <t>VIVIAN MICHEL RANGEL VARGAS</t>
  </si>
  <si>
    <t>vivian.rangel@multiva.com.mx</t>
  </si>
  <si>
    <t>JOSEMARIA DE LOS COBOS GONZALEZ POLO</t>
  </si>
  <si>
    <t>josemaria.deloscobos@multiva.com.mx</t>
  </si>
  <si>
    <t>ALFREDO MUNGUIA TREJO</t>
  </si>
  <si>
    <t>alfredo.munguia@multiva.com.mx</t>
  </si>
  <si>
    <t>MARIA EUGENIA ABAUNZA ROA</t>
  </si>
  <si>
    <t>SUBDIRECTORA MESA DE CONTROL FIDUCIARIO</t>
  </si>
  <si>
    <t>eugenia.abaunza@multiva.com.mx</t>
  </si>
  <si>
    <t>YOLANDA GODINEZ RANGEL</t>
  </si>
  <si>
    <t>DIRECTORA DE EVALUACION DE CREDITO</t>
  </si>
  <si>
    <t>yolanda.godinez@multiva.com.mx</t>
  </si>
  <si>
    <t>ALBERTO CELA SANTOS</t>
  </si>
  <si>
    <t>ANALISTA DE CREDITO</t>
  </si>
  <si>
    <t>alberto.cela@multiva.com.mx</t>
  </si>
  <si>
    <t>JESSICA ARELY LEON MARTINEZ</t>
  </si>
  <si>
    <t>ANALISTA DE EVALUACION DE CREDITO</t>
  </si>
  <si>
    <t>jessica.leon@multiva.com.mx</t>
  </si>
  <si>
    <t>JOSE CARLOS ORTIZ VIZCARRO</t>
  </si>
  <si>
    <t>COORDINADOR DE EVALUACION DE CREDITO</t>
  </si>
  <si>
    <t>jose.ortiz@multiva.com.mx</t>
  </si>
  <si>
    <t>ISAAC JIMENEZ JIMENEZ</t>
  </si>
  <si>
    <t>GERENTE DE CREDITO MASIVO</t>
  </si>
  <si>
    <t>Isaac.jimenez@multiva.com.mx</t>
  </si>
  <si>
    <t>JUAN SEBASTIAN ANDRADE IBARRA</t>
  </si>
  <si>
    <t>juan.andrade@multiva.com.mx</t>
  </si>
  <si>
    <t>AIME DEJANIRA SANCHEZ VALDEZ</t>
  </si>
  <si>
    <t>ESPECIALISTA DE EVALUACION DE CREDITO</t>
  </si>
  <si>
    <t>aime.sanchez@multiva.com.mx</t>
  </si>
  <si>
    <t>ELIA MARISA VELAZQUEZ DE LA TORRE</t>
  </si>
  <si>
    <t>elia.velazquez@multiva.com.mx</t>
  </si>
  <si>
    <t>CRISTIAN ROBERTO DORANTES CASTRO</t>
  </si>
  <si>
    <t>GERENTE DE EVALUACION DE CREDITO</t>
  </si>
  <si>
    <t>cristian.dorantes@multiva.com.mx</t>
  </si>
  <si>
    <t>GUADALUPE ORTIZ MONTES</t>
  </si>
  <si>
    <t>guadalupe.ortiz@multiva.com.mx</t>
  </si>
  <si>
    <t>JORGE RIVERA QUIJADA</t>
  </si>
  <si>
    <t>DIRECTOR DE EVALUACION DE CREDITO</t>
  </si>
  <si>
    <t>jorge.rivera@multiva.com.mx</t>
  </si>
  <si>
    <t>FRANCISCO JAVIER GARCIA SANDOVAL</t>
  </si>
  <si>
    <t>francisco.garcia@multiva.com.mx</t>
  </si>
  <si>
    <t>EMMANUEL SALAZAR PEREZ</t>
  </si>
  <si>
    <t>GERENTE DE SEGUIMIENTO CREDITO</t>
  </si>
  <si>
    <t>emmanuel.salazar@multiva.com.mx</t>
  </si>
  <si>
    <t>DIANA ZUPPA CID DEL PRADO</t>
  </si>
  <si>
    <t>DIRECTORA DE EVALUACION BANCA DE GOBIERNO</t>
  </si>
  <si>
    <t>diana.zuppa@multiva.com.mx</t>
  </si>
  <si>
    <t xml:space="preserve">PETER KILIAN </t>
  </si>
  <si>
    <t>peter.kilian@multiva.com.mx</t>
  </si>
  <si>
    <t>MARIA VERONICA SALINAS CHAVEZ</t>
  </si>
  <si>
    <t>maria.salinas@multiva.com.mx</t>
  </si>
  <si>
    <t>RICARDO OMAR LOZANO GENCHIS</t>
  </si>
  <si>
    <t>ricardo.lozano@multiva.com.mx</t>
  </si>
  <si>
    <t>ARMANDO BENITEZ JUAREZ</t>
  </si>
  <si>
    <t>DIRECTOR CORPORATIVO DE PLANEACION ESTRATEGICA</t>
  </si>
  <si>
    <t>DIRECCION DE PLANEACION ESTRATEGICA</t>
  </si>
  <si>
    <t>armando.benitez@multiva.com.mx</t>
  </si>
  <si>
    <t>ADRIANA GUERRERO RIVERA</t>
  </si>
  <si>
    <t>adriana.guerrero@multiva.com.mx</t>
  </si>
  <si>
    <t>AURELIA DEL SOCORRO ABASCAL RODRIGUEZ</t>
  </si>
  <si>
    <t>CHEF EJECUTIVO</t>
  </si>
  <si>
    <t>socorro.abascal@multiva.com.mx</t>
  </si>
  <si>
    <t>FELIPE ANDRADE ITUARTE</t>
  </si>
  <si>
    <t>SUBCHEF EJECUTIVO</t>
  </si>
  <si>
    <t>felipe.andrade@multiva.com.mx</t>
  </si>
  <si>
    <t>GREGORIO GARCIA HERNANDEZ</t>
  </si>
  <si>
    <t>MESERO</t>
  </si>
  <si>
    <t>HECTOR CRUZ TREJO</t>
  </si>
  <si>
    <t>THANIA BRAVO MONROY</t>
  </si>
  <si>
    <t>GERENTE INTELIGENCIA DE MERCADO GOBIERNO E INFRAESTRUCTURA</t>
  </si>
  <si>
    <t>thania.bravo@multiva.com.mx</t>
  </si>
  <si>
    <t>HAZEL ANAYANZI AMADOR ZERMEÑO</t>
  </si>
  <si>
    <t>hazel.amador@multiva.com.mx</t>
  </si>
  <si>
    <t>CRISTIAN GALARZA CATALAN</t>
  </si>
  <si>
    <t>SUBDIRECTOR DE ESTRATEGIAS</t>
  </si>
  <si>
    <t>cristian.galarza@multiva.com.mx</t>
  </si>
  <si>
    <t>ARELI CAMPUZANO PABLO</t>
  </si>
  <si>
    <t>GERENTE ESTRATEGIAS</t>
  </si>
  <si>
    <t>areli.campuzano@multiva.com.mx</t>
  </si>
  <si>
    <t>ANTONIO URIEL RODRIGUEZ GOMEZ</t>
  </si>
  <si>
    <t>GERENTE GESTION COMERCIAL</t>
  </si>
  <si>
    <t>antonio.rodriguez@multiva.com.mx</t>
  </si>
  <si>
    <t>JOSE ADRIAN MENDOZA GARCIA</t>
  </si>
  <si>
    <t>GERENTE BI</t>
  </si>
  <si>
    <t>adrian.mendoza@multiva.com.mx</t>
  </si>
  <si>
    <t>CLAUDIA RODRIGUEZ SANTIAGO</t>
  </si>
  <si>
    <t>SUBDIRECTORA DE CONTROL DE GESTION</t>
  </si>
  <si>
    <t>claudia.rodriguez@multiva.com.mx</t>
  </si>
  <si>
    <t>GAMALIEL OSTOS SANTOS</t>
  </si>
  <si>
    <t>gamaliel.ostos@multiva.com.mx</t>
  </si>
  <si>
    <t>FERNANDO DAMIAN MARTINEZ SANTIAGO</t>
  </si>
  <si>
    <t>GERENTE DE GESTION COMERCIAL</t>
  </si>
  <si>
    <t>fernando.martinez@multiva.com.mx</t>
  </si>
  <si>
    <t>LUIS RAMON ROIG GOVEA</t>
  </si>
  <si>
    <t>DIRECTOR DE MARKETING</t>
  </si>
  <si>
    <t>luis.roig@multiva.com.mx</t>
  </si>
  <si>
    <t>ALDO SHARIFF IBARRA ALMAZAN</t>
  </si>
  <si>
    <t>SUBDIRECTOR DE MERCADOTECNIA</t>
  </si>
  <si>
    <t>aldo.ibarra@multiva.com.mx</t>
  </si>
  <si>
    <t>CAROLINA ALFARO MARTINEZ</t>
  </si>
  <si>
    <t>GERENTE DE MERCADOTECNIA SR</t>
  </si>
  <si>
    <t>carolina.alfaro@multiva.com.mx</t>
  </si>
  <si>
    <t>EDUARDO ALBERTO DURAN VILLA</t>
  </si>
  <si>
    <t>COORDINADOR DE DISEÑO</t>
  </si>
  <si>
    <t>eduardo.duran@multiva.com.mx</t>
  </si>
  <si>
    <t>JORGE LAZCANO VILLALPANDO</t>
  </si>
  <si>
    <t>GERENTE DE MERCADOTECNIA DIGITAL</t>
  </si>
  <si>
    <t>jorge.lazcano@multiva.com.mx</t>
  </si>
  <si>
    <t>HUGO LAUREANO JIMENEZ</t>
  </si>
  <si>
    <t>ANALISTA DE BANCA DIGITAL</t>
  </si>
  <si>
    <t>hugo.laureano@multiva.com.mx</t>
  </si>
  <si>
    <t>ERIKA HERNANDEZ COLIN</t>
  </si>
  <si>
    <t>GERENTE EVENTOS</t>
  </si>
  <si>
    <t>erika.hernandezc@multiva.com.mx</t>
  </si>
  <si>
    <t>SANTIAGO MARTINEZ DURAN</t>
  </si>
  <si>
    <t>AUXILIAR EVENTOS</t>
  </si>
  <si>
    <t>santiago.martinez@multiva.com.mx</t>
  </si>
  <si>
    <t>JOSE ANTONIO RIVERA CARRASCO</t>
  </si>
  <si>
    <t>DIRECTOR DE PLANEACION FINANCIERA</t>
  </si>
  <si>
    <t>jose.rivera@multiva.com.mx</t>
  </si>
  <si>
    <t>BRITZIA LUCERO SILVA ENCISO</t>
  </si>
  <si>
    <t>DIRECTORA DE SOSTENIBILIDAD</t>
  </si>
  <si>
    <t>britzia.silva@multiva.com.mx</t>
  </si>
  <si>
    <t>CLAUDIA EUGENIA ESTRELLA FLORES</t>
  </si>
  <si>
    <t>SUBDIRECTORA DE SOSTENIBILIDAD</t>
  </si>
  <si>
    <t>claudia.estrella@multiva.com.mx</t>
  </si>
  <si>
    <t>KARLA KARIME RODRIGUEZ HERNANDEZ</t>
  </si>
  <si>
    <t>ANALISTA DE SOSTENIBILIDAD</t>
  </si>
  <si>
    <t>karla.rodriguez@multiva.com.mx</t>
  </si>
  <si>
    <t>DIANA ITZEL JIMENEZ MARQUEZ</t>
  </si>
  <si>
    <t>diana.jimenez@multiva.com.mx</t>
  </si>
  <si>
    <t>OCTAVIO ALBERTO CORTES TORRES</t>
  </si>
  <si>
    <t>octavio.cortes@multiva.com.mx</t>
  </si>
  <si>
    <t>EDUARDO LOPEZ GARCIA</t>
  </si>
  <si>
    <t>ANALISTA DE PLANEACION ESTRATEGICA Y TRANSFORMACION</t>
  </si>
  <si>
    <t>eduardo.lopez@multiva.com.mx</t>
  </si>
  <si>
    <t>VERONICA SALAS PINEDA</t>
  </si>
  <si>
    <t>veronica.salas@multiva.com.mx</t>
  </si>
  <si>
    <t>MONTSERRAT LOPEZ MARTINEZ</t>
  </si>
  <si>
    <t>ANALISTA PLANEACION ESTRATEGICA</t>
  </si>
  <si>
    <t>montserrat.lopez@multiva.com.mx</t>
  </si>
  <si>
    <t>FERNANDO DONOSO ELBJORN</t>
  </si>
  <si>
    <t>DIRECTOR DE PROCESOS Y PROYECTOS</t>
  </si>
  <si>
    <t>fernando.donoso@multiva.com.mx</t>
  </si>
  <si>
    <t>ROGELIO ABRAHAM JAIMES PEREZ</t>
  </si>
  <si>
    <t>LIDER DISEÑO DE PROCESOS</t>
  </si>
  <si>
    <t>abraham.jaimes@multiva.com.mx</t>
  </si>
  <si>
    <t>PEDRO REYES MACHUCA</t>
  </si>
  <si>
    <t>GERENTE DISEÑO DE PROCESOS</t>
  </si>
  <si>
    <t>pedro.reyes@multiva.com.mx</t>
  </si>
  <si>
    <t>LORENA INES RIVAS LOVO CASTELAR</t>
  </si>
  <si>
    <t>ADMINISTRADOR DE PROYECTOS</t>
  </si>
  <si>
    <t>lorena.rivas@multiva.com.mx</t>
  </si>
  <si>
    <t>EDGAR SANTAMARIA LOPEZ</t>
  </si>
  <si>
    <t>edgar.santamaria@multiva.com.mx</t>
  </si>
  <si>
    <t>MARIA ARACELI DE LA CRUZ HERNANDEZ</t>
  </si>
  <si>
    <t>SUBDIRECTORA TRANSFORMACION DE PROCESOS</t>
  </si>
  <si>
    <t>maria.delacruz@multiva.com.mx</t>
  </si>
  <si>
    <t>SARAY MEDINA MARTINEZ</t>
  </si>
  <si>
    <t>GERENTE AUTOMATIZACION DE PROCESOS</t>
  </si>
  <si>
    <t>saray.medina@multiva.com.mx</t>
  </si>
  <si>
    <t>VIRIDIANA VALENCIA GARCIA</t>
  </si>
  <si>
    <t>LIDER AUTOMATIZACION DE PROCESOS</t>
  </si>
  <si>
    <t>viridiana.valencia@multiva.com.mx</t>
  </si>
  <si>
    <t>MIREL ALBERTO FERIA MARTINEZ</t>
  </si>
  <si>
    <t>SUBDIRECTOR ADMINISTRACION DE PROYECTOS</t>
  </si>
  <si>
    <t>mirel.feria@multiva.com.mx</t>
  </si>
  <si>
    <t>SAMANTHA JOCELYN HERNANDEZ TERRAZAS</t>
  </si>
  <si>
    <t>ANALISTA ADMINISTRACION DE PROYECTOS</t>
  </si>
  <si>
    <t>samantha.hernandez@multiva.com.mx</t>
  </si>
  <si>
    <t>ALEJANDRO MORALES JUAREZ</t>
  </si>
  <si>
    <t>IT BUSINESS PARTNER</t>
  </si>
  <si>
    <t>alejandro.mjuarez@multiva.com.mx</t>
  </si>
  <si>
    <t>ABIMAEL MARTINEZ PEREZ</t>
  </si>
  <si>
    <t>DIRECTOR PLANEACION Y GOBERNANZA</t>
  </si>
  <si>
    <t>abimael.martinez@multiva.com.mx</t>
  </si>
  <si>
    <t>JORGE DANIEL SANDOVAL BECERRIL</t>
  </si>
  <si>
    <t>ANALISTA GESTION DE PROVEEDORES JR. TI</t>
  </si>
  <si>
    <t>jorge.sandoval@multiva.com.mx</t>
  </si>
  <si>
    <t>JOSE LUIS SULBARAN PIÑA</t>
  </si>
  <si>
    <t>GERENTE PRESUPUESTAL DE IT</t>
  </si>
  <si>
    <t>luis.sulbaran@multiva.com.mx</t>
  </si>
  <si>
    <t>JESICA GARCIA SILVA</t>
  </si>
  <si>
    <t>GERENTE GESTION DE PROVEEDORES TI</t>
  </si>
  <si>
    <t>jesica.garcia@multiva.com.mx</t>
  </si>
  <si>
    <t>MARILU GONZALEZ ESTEBAN</t>
  </si>
  <si>
    <t>marilu.gonzalez@multiva.com.mx</t>
  </si>
  <si>
    <t>RICARDO ANTONIO RANGEL FERNANDEZ MAC GREGOR</t>
  </si>
  <si>
    <t>DIRECTOR EJECUTIVO PRODUCTOS FIDUCIARIOS</t>
  </si>
  <si>
    <t>DIRECCION EJECUTIVA NEGOCIOS FIDUCIARIOS</t>
  </si>
  <si>
    <t>ricardo.rangel@multiva.com.mx</t>
  </si>
  <si>
    <t>ARIADNA MARINA MARQUEZ SOSA</t>
  </si>
  <si>
    <t>ariadna.marquez@multiva.com.mx</t>
  </si>
  <si>
    <t>ALFREDO BASURTO DORANTES</t>
  </si>
  <si>
    <t>GERENTE REP. COMUNES</t>
  </si>
  <si>
    <t>alfredo.basurto@multiva.com.mx</t>
  </si>
  <si>
    <t>JAVIER EDUARDO ORTEGA LABASTIDA</t>
  </si>
  <si>
    <t>ADMINISTRADOR REPRESENTACIONES COMUNES</t>
  </si>
  <si>
    <t>javiereduardo.ortega@multiva.com.mx</t>
  </si>
  <si>
    <t>MONICA JIMENEZ LABORA SARABIA</t>
  </si>
  <si>
    <t>SUBDIRECTORA ADMON. DE REPRESENTACION COMUN</t>
  </si>
  <si>
    <t>monica.jimenez@multiva.com.mx</t>
  </si>
  <si>
    <t>ERENDIRA MORALES VILLANUEVA</t>
  </si>
  <si>
    <t>erendira.morales@multiva.com.mx</t>
  </si>
  <si>
    <t>JOSE PABLO AGIS REYES</t>
  </si>
  <si>
    <t>jose.agis@multiva.com.mx</t>
  </si>
  <si>
    <t>ROBERTO OVALLE CORONA</t>
  </si>
  <si>
    <t>TESORERO FIDUCIARIO</t>
  </si>
  <si>
    <t>roberto.ovalle@multiva.com.mx</t>
  </si>
  <si>
    <t>JORGE OLIVERA MARTINEZ</t>
  </si>
  <si>
    <t>TESORERO</t>
  </si>
  <si>
    <t>jorge.olivera@multiva.com.mx</t>
  </si>
  <si>
    <t>HECTOR RAMIREZ LOPEZ</t>
  </si>
  <si>
    <t>hector.ramirez@multiva.com.mx</t>
  </si>
  <si>
    <t>CARLOS ADRIAN VEGA AGUILAR</t>
  </si>
  <si>
    <t>carlos.vega@multiva.com.mx</t>
  </si>
  <si>
    <t>ROSA ADRIANA PEREZ QUESNEL</t>
  </si>
  <si>
    <t>DELEGADO FIDUCIARIO</t>
  </si>
  <si>
    <t>adriana.perez@multiva.com.mx</t>
  </si>
  <si>
    <t>GABRIEL ARROYO CHAVEZ</t>
  </si>
  <si>
    <t>DIRECTOR CALIDAD CUMPLIMIENTO FIDUCIARIO</t>
  </si>
  <si>
    <t>gabriel.arroyochavez@multiva.com.mx</t>
  </si>
  <si>
    <t>JESSICA JUDITH REYES CORTE</t>
  </si>
  <si>
    <t>GERENTE CALIDAD Y CUMPLIMIENTO FIDUCIARIO</t>
  </si>
  <si>
    <t>jessica.reyes@multiva.com.mx</t>
  </si>
  <si>
    <t>KARLA ITZEL BARRON SAAVEDRA</t>
  </si>
  <si>
    <t>karla.barron@multiva.com.mx</t>
  </si>
  <si>
    <t>CRISTINA REUS MEDINA</t>
  </si>
  <si>
    <t>DIRECTORA PROMOCION FIDUCIARIA REGIONAL</t>
  </si>
  <si>
    <t>cristina.reus@multiva.com.mx</t>
  </si>
  <si>
    <t>JUAN ANTONIO MEDINA GUZMAN</t>
  </si>
  <si>
    <t>ABOGADO FIDUCIARIO</t>
  </si>
  <si>
    <t>juan.medina@multiva.com.mx</t>
  </si>
  <si>
    <t>NORMA SERRANO RUIZ</t>
  </si>
  <si>
    <t>DIRECTORA JURIDICO PROMOCION FIDUCIARIA</t>
  </si>
  <si>
    <t>norma.serrano@multiva.com.mx</t>
  </si>
  <si>
    <t>ALBERTO MENDEZ DAVIDSON</t>
  </si>
  <si>
    <t>alberto.mendez@multiva.com.mx</t>
  </si>
  <si>
    <t>ANDREA ESCAJADILLO DEL CASTILLO</t>
  </si>
  <si>
    <t>andrea.escajadillo@multiva.com.mx</t>
  </si>
  <si>
    <t>JAVIER CORTES HERNANDEZ</t>
  </si>
  <si>
    <t>javier.cortes@multiva.com.mx</t>
  </si>
  <si>
    <t>SERGIO GUEVARA SANDOVAL</t>
  </si>
  <si>
    <t>sergio.guevara@multiva.com.mx</t>
  </si>
  <si>
    <t>UBALDO CHAVEZ LOPEZ</t>
  </si>
  <si>
    <t>ubaldo.chavez@multiva.com.mx</t>
  </si>
  <si>
    <t>OSCAR SANCHEZ MORENO</t>
  </si>
  <si>
    <t>oscar.sanchez@multiva.com.mx</t>
  </si>
  <si>
    <t>LILIANA RENDON NUÑEZ DE ALVAREZ</t>
  </si>
  <si>
    <t>DIRECTORA FIDUCIARIO</t>
  </si>
  <si>
    <t>liliana.rendon@multiva.com.mx</t>
  </si>
  <si>
    <t>GABRIELA MARTINEZ MORENO</t>
  </si>
  <si>
    <t>gabriela.martinezm@multiva.com.mx</t>
  </si>
  <si>
    <t>SERGIO LOPEZ VELAZQUEZ</t>
  </si>
  <si>
    <t>SUBDIRECTOR COMPLIANCE FIDUCIARIO</t>
  </si>
  <si>
    <t>sergio.lopez@multiva.com.mx</t>
  </si>
  <si>
    <t>JORGE RAMON CAMPOS DE LA FUENTE</t>
  </si>
  <si>
    <t>SUBDIRECTOR LEGAL Y PROMOCION FIDUCIARIO</t>
  </si>
  <si>
    <t>jorge.campos@multiva.com.mx</t>
  </si>
  <si>
    <t>BRENDA MUÑOZ MIRANDA</t>
  </si>
  <si>
    <t>GERENTE DE PROMOCION FIDUCIARIO</t>
  </si>
  <si>
    <t>brenda.munoz@multiva.com.mx</t>
  </si>
  <si>
    <t>GERARDO GLACCIE CRAVIOTO RODRIGUEZ</t>
  </si>
  <si>
    <t>GERENTE PROMOCION FIDUCIARIA</t>
  </si>
  <si>
    <t>gerardo.cravioto@multiva.com.mx</t>
  </si>
  <si>
    <t>JESSICA GAONA ANDRADE</t>
  </si>
  <si>
    <t>jessica.gaona@multiva.com.mx</t>
  </si>
  <si>
    <t>ALFREDO VARGAS LAPAYRE</t>
  </si>
  <si>
    <t>SUBDIRECTOR ADMINISTRACION FIDUCIARIO</t>
  </si>
  <si>
    <t>alfredo.vargas@multiva.com.mx</t>
  </si>
  <si>
    <t>CRISTINA DIAZ CASTREJON</t>
  </si>
  <si>
    <t>ADMINISTRADOR FIDUCIARIO</t>
  </si>
  <si>
    <t>cristina.diaz@multiva.com.mx</t>
  </si>
  <si>
    <t>VICTORIA HAIDE LIMON PADILLA</t>
  </si>
  <si>
    <t>victoria.limon@multiva.com.mx</t>
  </si>
  <si>
    <t>SARA GABRIELA ROSALES AMBRIZ</t>
  </si>
  <si>
    <t>GERENTE ADMINISTRACION FIDUCIARIO</t>
  </si>
  <si>
    <t>sara.rosales@multiva.com.mx</t>
  </si>
  <si>
    <t>KARINA OFELIA MORA SOLIS</t>
  </si>
  <si>
    <t>karina.mora@multiva.com.mx</t>
  </si>
  <si>
    <t>LILIANA GUILLEN MENDOZA</t>
  </si>
  <si>
    <t>SUBGERENTE ADMINISTRACION FIDUCIARIA</t>
  </si>
  <si>
    <t>liliana.guillen@multiva.com.mx</t>
  </si>
  <si>
    <t>JOSE LUIS COTO TLACUIDO</t>
  </si>
  <si>
    <t>jose.coto@multiva.com.mx</t>
  </si>
  <si>
    <t>JUAN PABLO BAIGTS LASTIRI</t>
  </si>
  <si>
    <t>DIRECTOR JURIDICO PROMOCION FIDUCIARIA</t>
  </si>
  <si>
    <t>juanpablo.baigts@multiva.com.mx</t>
  </si>
  <si>
    <t>VICTOR MANUEL LLANTADA IBARRA</t>
  </si>
  <si>
    <t>victor.llantada@multiva.com.mx</t>
  </si>
  <si>
    <t>CAROLA MENDOZA MENDOZA</t>
  </si>
  <si>
    <t>carola.mendoza@multiva.com.mx</t>
  </si>
  <si>
    <t>ADAN ALEJANDRO SALAZAR SANCHEZ</t>
  </si>
  <si>
    <t>ABOGADO FIDUCIARIO JR</t>
  </si>
  <si>
    <t>adan.salazar@multiva.com.mx</t>
  </si>
  <si>
    <t>GERARDO IBARROLA SAMANIEGO</t>
  </si>
  <si>
    <t>gerardo.ibarrola@multiva.com.mx</t>
  </si>
  <si>
    <t>JAIME GERARDO RIOS GARCIA</t>
  </si>
  <si>
    <t>jaime.rios@multiva.com.mx</t>
  </si>
  <si>
    <t>ROGELIO OMAR GALINDO GARCIA</t>
  </si>
  <si>
    <t>omar.galindo@multiva.com.mx</t>
  </si>
  <si>
    <t>MARISOL BARRIOS RETURETA</t>
  </si>
  <si>
    <t>DIRECTORA OPERACION FIDUCIARIA</t>
  </si>
  <si>
    <t>marisol.barrios@multiva.com.mx</t>
  </si>
  <si>
    <t>ELENA YAMILE GARCIA ZARAZUA</t>
  </si>
  <si>
    <t>ANALISTA OPERACION INTERNACIONAL FIDUCIARIO</t>
  </si>
  <si>
    <t>yamile.garcia@multiva.com.mx</t>
  </si>
  <si>
    <t>DANIEL SERRANO RIVAS</t>
  </si>
  <si>
    <t>daniel.serrano@multiva.com.mx</t>
  </si>
  <si>
    <t>IVONNE LARA CORONA</t>
  </si>
  <si>
    <t>ivonne.lara@multiva.com.mx</t>
  </si>
  <si>
    <t>ANA ERIKA MARTINEZ AVITIA</t>
  </si>
  <si>
    <t>SUBDIRECTORA ADMINISTRACION FIDUCIARIA</t>
  </si>
  <si>
    <t>ana.martinez@multiva.com.mx</t>
  </si>
  <si>
    <t>JACQUELINE DE LAS NIEVES AGUIRRE MARTINEZ</t>
  </si>
  <si>
    <t>jacqueline.aguirre@multiva.com.mx</t>
  </si>
  <si>
    <t>MARIBEL MONROY MEJIA</t>
  </si>
  <si>
    <t>maribel.monroy@multiva.com.mx</t>
  </si>
  <si>
    <t>SERGIO HESBAN ABAUNZA VILLA</t>
  </si>
  <si>
    <t>sergio.abaunza@multiva.com.mx</t>
  </si>
  <si>
    <t>JUAN ALBERTO MORALES LEDESMA</t>
  </si>
  <si>
    <t>juan.morales@multiva.com.mx</t>
  </si>
  <si>
    <t>VERONICA HERNANDEZ NAVARRETE</t>
  </si>
  <si>
    <t>veronica.hernandez@multiva.com.mx</t>
  </si>
  <si>
    <t>MARIA MONSERRAT URIARTE CARLIN</t>
  </si>
  <si>
    <t>monserrat.uriarte@multiva.com.mx</t>
  </si>
  <si>
    <t>ALEJANDRO ANTONIO REYES ZEPEDA</t>
  </si>
  <si>
    <t>alejandro.reyes@multiva.com.mx</t>
  </si>
  <si>
    <t>CHRISTIAN JAVIER PASCUAL OLVERA</t>
  </si>
  <si>
    <t>christian.pascual@multiva.com.mx</t>
  </si>
  <si>
    <t>RODRIGO RAUL ARIAS MIRANDA</t>
  </si>
  <si>
    <t>rodrigo.arias@multiva.com.mx</t>
  </si>
  <si>
    <t>JAVIER VAZQUEZ ESTRADA</t>
  </si>
  <si>
    <t>javier.vestrada@multiva.com.mx</t>
  </si>
  <si>
    <t>LETICIA RODRIGUEZ SALANUEVA</t>
  </si>
  <si>
    <t>leticia.rodriguez@multiva.com.mx</t>
  </si>
  <si>
    <t>LUIS ANGEL VILLARREAL GUTIERREZ</t>
  </si>
  <si>
    <t>luis.villarreal@multiva.com.mx</t>
  </si>
  <si>
    <t>ADRIANA CAMIRO DE LA ISLA</t>
  </si>
  <si>
    <t>ADMINISTRADOR FIDUCIARIO JR</t>
  </si>
  <si>
    <t>adriana.camiro@multiva.com.mx</t>
  </si>
  <si>
    <t>CARLOS SALDAÑA RODRIGUEZ</t>
  </si>
  <si>
    <t>carlos.saldana@multiva.com.mx</t>
  </si>
  <si>
    <t>MAURO ISAAC GONZALEZ ARVIZU</t>
  </si>
  <si>
    <t>SUBDIRECTOR OPERACION FIDUCIARIA</t>
  </si>
  <si>
    <t>mauro.gonzalez@multiva.com.mx</t>
  </si>
  <si>
    <t>PAUL GONZALEZ MEJIA</t>
  </si>
  <si>
    <t>OPERADOR FIDUCIARIO</t>
  </si>
  <si>
    <t>paul.gonzalez@multiva.com.mx</t>
  </si>
  <si>
    <t>ACKBAR GUTIERREZ MANDUJANO</t>
  </si>
  <si>
    <t>ackbar.gutierrez@multiva.com.mx</t>
  </si>
  <si>
    <t>GUSTAVO GUTIERREZ SOSA</t>
  </si>
  <si>
    <t>gustavo.gutierrez@multiva.com.mx</t>
  </si>
  <si>
    <t>METZLLI JUDITH MARTINEZ HERNANDEZ</t>
  </si>
  <si>
    <t>metzlli.martinez@multiva.com.mx</t>
  </si>
  <si>
    <t>HECTOR MIGUEL MARTINEZ RAMOS</t>
  </si>
  <si>
    <t>hector.martinez@multiva.com.mx</t>
  </si>
  <si>
    <t>STELLA ANGELICA STAVOLI ARRELLIN</t>
  </si>
  <si>
    <t>angelica.stavoli@multiva.com.mx</t>
  </si>
  <si>
    <t>FRANCISCO JAVIER PEREZ GALLEGOS</t>
  </si>
  <si>
    <t>francisco.perez@multiva.com.mx</t>
  </si>
  <si>
    <t>GUILLERMO PEREZ GOMEZ</t>
  </si>
  <si>
    <t>guillermo.perez@multiva.com.mx</t>
  </si>
  <si>
    <t>BRENDA CRISTINA FLORES CORREA</t>
  </si>
  <si>
    <t>brenda.flores@multiva.com.mx</t>
  </si>
  <si>
    <t>GUILLERMO CORTES DIAZ</t>
  </si>
  <si>
    <t>guillermo.cortes@multiva.com.mx</t>
  </si>
  <si>
    <t>JORGE EDUARDO CESTELO MACIAS</t>
  </si>
  <si>
    <t>jorge.cestelo@multiva.com.mx</t>
  </si>
  <si>
    <t>ALAN MUÑOZ VARGAS</t>
  </si>
  <si>
    <t>alan.munoz@multiva.com.mx</t>
  </si>
  <si>
    <t>JUAN HERNANDEZ LOPEZ</t>
  </si>
  <si>
    <t>juan.hernandezlopez@multiva.com.mx</t>
  </si>
  <si>
    <t>ADRIAN GERARDO SOLIS GUTIERREZ</t>
  </si>
  <si>
    <t>adrian.solis@multiva.com.mx</t>
  </si>
  <si>
    <t>MARIA LEONOR CRUZ QUINTANA</t>
  </si>
  <si>
    <t>SUBDIRECTORA CONTABILIDAD FIDUCIARIA</t>
  </si>
  <si>
    <t>leonor.cruz@multiva.com.mx</t>
  </si>
  <si>
    <t>HUGO ALEJANDRO GARCIA FONSECA</t>
  </si>
  <si>
    <t>ANALISTA FACTURACION Y COBRANZA</t>
  </si>
  <si>
    <t>alejandro.garcia@multiva.com.mx</t>
  </si>
  <si>
    <t>RENE PEREZ MELCHOR</t>
  </si>
  <si>
    <t>rene.perez@multiva.com.mx</t>
  </si>
  <si>
    <t>ANA FERNANDA RODRIGUEZ PIÑA</t>
  </si>
  <si>
    <t>fernanda.rodriguez@multiva.com.mx</t>
  </si>
  <si>
    <t>JESUS ANTONIO CHAVEZ JIMENEZ</t>
  </si>
  <si>
    <t>CONTADOR FIDUCIARIO</t>
  </si>
  <si>
    <t>jesus.chavez@multiva.com.mx</t>
  </si>
  <si>
    <t>ANGEL HUMBERTO CARRILLO PICHARDO</t>
  </si>
  <si>
    <t>angel.carrillo@multiva.com.mx</t>
  </si>
  <si>
    <t>ARELI BRITO GAMIOCHIPI</t>
  </si>
  <si>
    <t>areli.brito@multiva.com.mx</t>
  </si>
  <si>
    <t>IRMA MELISSA MANCILLA GUTIERREZ</t>
  </si>
  <si>
    <t>irma.mancilla@multiva.com.mx</t>
  </si>
  <si>
    <t>ANA LAURA PEREZ HERACLEO</t>
  </si>
  <si>
    <t>ana.perez@multiva.com.mx</t>
  </si>
  <si>
    <t>MARCO FABIAN MUÑOZ DEL CASTILLO</t>
  </si>
  <si>
    <t>marco.munoz@multiva.com.mx</t>
  </si>
  <si>
    <t>FERNANDO ISRAEL HERNANDEZ MARTINEZ</t>
  </si>
  <si>
    <t>fernando.hernandez@multiva.com.mx</t>
  </si>
  <si>
    <t>CAROLINA PABLO MEJIA</t>
  </si>
  <si>
    <t>carolina.pablo@multiva.com.mx</t>
  </si>
  <si>
    <t>MONICA MITRE MICHEL</t>
  </si>
  <si>
    <t>monica.mitre@multiva.com.mx</t>
  </si>
  <si>
    <t>PABLO GARCIA MADERO</t>
  </si>
  <si>
    <t>pablo.garcia@multiva.com.mx</t>
  </si>
  <si>
    <t>ANA MARIA SEGURA ESCUDERO</t>
  </si>
  <si>
    <t>DIRECTORA EJECUTIVA DE TALENTO</t>
  </si>
  <si>
    <t>DIRECCION EJECUTIVA DE TALENTO</t>
  </si>
  <si>
    <t>ana.segura@multiva.com.mx</t>
  </si>
  <si>
    <t>PAMELA ABIGAIL MARTINEZ FICACHI</t>
  </si>
  <si>
    <t>GERENTE SALUD Y BIENESTAR</t>
  </si>
  <si>
    <t>pamela.martinez@multiva.com.mx</t>
  </si>
  <si>
    <t>PAOLA ROJAS RODRIGUEZ</t>
  </si>
  <si>
    <t>GERENTE ATRACCION DE TALENTO</t>
  </si>
  <si>
    <t>paola.rojas@multiva.com.mx</t>
  </si>
  <si>
    <t>AYLIN CABELLO CASTRO</t>
  </si>
  <si>
    <t>ANALISTA ATRACCION DE TALENTO</t>
  </si>
  <si>
    <t>aylin.cabello@multiva.com.mx</t>
  </si>
  <si>
    <t>ARIADNA EDITH GOMEZ GONZALEZ</t>
  </si>
  <si>
    <t>ESPECIALISTA DE ATRACCION DE TALENTO</t>
  </si>
  <si>
    <t>ariadna.gomez@multiva.com.mx</t>
  </si>
  <si>
    <t>HILDA IVETT ZUÑIGA NAVARRO</t>
  </si>
  <si>
    <t>hilda.zuniga@multiva.com.mx</t>
  </si>
  <si>
    <t>ARELY DAYANA FLORES GONZALEZ</t>
  </si>
  <si>
    <t>arely.flores@multiva.com.mx</t>
  </si>
  <si>
    <t>JORGE ARMANDO ROJAS LAZCANO</t>
  </si>
  <si>
    <t>jorge.rlazcano@multiva.com.mx</t>
  </si>
  <si>
    <t>DIANA KARINA RODRIGUEZ ZENIL</t>
  </si>
  <si>
    <t>diana.rzenil@multiva.com.mx</t>
  </si>
  <si>
    <t>MARIBEL CHAVEZ MARTINEZ</t>
  </si>
  <si>
    <t>SUBDIRECTORA RELACION CON EL PERSONAL</t>
  </si>
  <si>
    <t>maribel.chavez@multiva.com.mx</t>
  </si>
  <si>
    <t>ERIKA GABRIELA DORANTES MIGUEL</t>
  </si>
  <si>
    <t>PARAMEDICO</t>
  </si>
  <si>
    <t>erika.dorantes@multiva.com.mx</t>
  </si>
  <si>
    <t>ALINA DENISSE MOLINA CASTILLO</t>
  </si>
  <si>
    <t>SUBDIRECTORA DE CULTURA Y TALENTO</t>
  </si>
  <si>
    <t>alina.molina@multiva.com.mx</t>
  </si>
  <si>
    <t>WENDY GARCIA VAZQUEZ</t>
  </si>
  <si>
    <t>ESPECIALISTA DE CAPACITACION</t>
  </si>
  <si>
    <t>wendy.garcia@multiva.com.mx</t>
  </si>
  <si>
    <t>ESTEFANIA AGUAYO CERON</t>
  </si>
  <si>
    <t>estefania.aguayo@multiva.com.mx</t>
  </si>
  <si>
    <t>KITZIA CAMILA GARCES APODACA</t>
  </si>
  <si>
    <t>ANALISTA CAPACITACION</t>
  </si>
  <si>
    <t>kitzia.garces@multiva.com.mx</t>
  </si>
  <si>
    <t>SONIA KAREN COLIN LATORRE</t>
  </si>
  <si>
    <t>GERENTE DE CULTURA Y TALENTO</t>
  </si>
  <si>
    <t>sonia.colin@multiva.com.mx</t>
  </si>
  <si>
    <t>JORAM MARTAGON CORDOVA</t>
  </si>
  <si>
    <t>SUBDIRECTOR HR DATA</t>
  </si>
  <si>
    <t>joram.martagon@multiva.com.mx</t>
  </si>
  <si>
    <t>MARCO ANTONIO CISNEROS MACHORRO</t>
  </si>
  <si>
    <t>GERENTE DE PEOPLE ANALYTICS</t>
  </si>
  <si>
    <t>marco.cisneros@multiva.com.mx</t>
  </si>
  <si>
    <t>ANA PATRICIA GALLEGOS NUÑEZ</t>
  </si>
  <si>
    <t>GERENTE COMPENSACIONES Y BENEFICIOS</t>
  </si>
  <si>
    <t>ana.gallegos@multiva.com.mx</t>
  </si>
  <si>
    <t>EMILIANO SANTANA GUEVARA</t>
  </si>
  <si>
    <t>ANALISTA COMPENSACIONES Y BENEFICIOS</t>
  </si>
  <si>
    <t>emiliano.santana@multiva.com.mx</t>
  </si>
  <si>
    <t>OMAR EMMANUEL ZARATE ESQUIVEL</t>
  </si>
  <si>
    <t>GERENTE SR DE ADMINISTRACION DEL PERSONAL</t>
  </si>
  <si>
    <t>omar.zarate@multiva.com.mx</t>
  </si>
  <si>
    <t>MARINA ARAUJO HERNANDEZ</t>
  </si>
  <si>
    <t>ANALISTA DE NOMINA</t>
  </si>
  <si>
    <t>marina.araujo@multiva.com.mx</t>
  </si>
  <si>
    <t>ROMINA CASTAÑEDA MORA</t>
  </si>
  <si>
    <t>SUBGERENTE DE NOMINA</t>
  </si>
  <si>
    <t>romina.castaneda@multiva.com.mx</t>
  </si>
  <si>
    <t>FLOR ISABEL FLORES HERNANDEZ</t>
  </si>
  <si>
    <t>flor.flores@multiva.com.mx</t>
  </si>
  <si>
    <t>CINTYA YOSCIE JIMENEZ RECIO</t>
  </si>
  <si>
    <t>GERENTE DISEÑO ORGANIZACIONAL</t>
  </si>
  <si>
    <t>cintya.jimenez@multiva.com.mx</t>
  </si>
  <si>
    <t>CARLOS FERNANDO CONTRERAS AVILES</t>
  </si>
  <si>
    <t>carlos.contreras@multiva.com.mx</t>
  </si>
  <si>
    <t>MARTHA ANGELICA ARANA CRUZ</t>
  </si>
  <si>
    <t>DIRECTORA CORPORATIVA DE TECNOLOGIAS DE LA INFORMACION</t>
  </si>
  <si>
    <t>DIRECCION TECNOLOGIAS DE LA INFORMACION</t>
  </si>
  <si>
    <t>angelica.arana@multiva.com.mx</t>
  </si>
  <si>
    <t>MARIA ELENA REYES PEREZ</t>
  </si>
  <si>
    <t>elena.reyes@multiva.com.mx</t>
  </si>
  <si>
    <t>ISMAEL FERMIN MARTINEZ HERREJON</t>
  </si>
  <si>
    <t>ismael.martinez@multiva.com.mx</t>
  </si>
  <si>
    <t>IVAN ERUBEY MARTINEZ GONZALEZ</t>
  </si>
  <si>
    <t>TECNICO DE SOPORTE</t>
  </si>
  <si>
    <t>ivan.martinez@multiva.com.mx</t>
  </si>
  <si>
    <t>CARLOS ARISTIDES CASTRO SANCHEZ</t>
  </si>
  <si>
    <t>DIRECTOR EJECUTIVO DE TRANSFORMACION</t>
  </si>
  <si>
    <t>aristides.castro@multiva.com.mx</t>
  </si>
  <si>
    <t>IRIS ANEL LEE MARTINEZ</t>
  </si>
  <si>
    <t>DIRECTORA DE DESARROLLO</t>
  </si>
  <si>
    <t>iris.lee@multiva.com.mx</t>
  </si>
  <si>
    <t>SILVANA BAUTISTA AGUILAR</t>
  </si>
  <si>
    <t>SUBDIRECTOR DE DESARROLLO DE SISTEMAS</t>
  </si>
  <si>
    <t>silvana.bautista@multiva.com.mx</t>
  </si>
  <si>
    <t>ANGEL JAIR HERRERA DOMINGUEZ</t>
  </si>
  <si>
    <t>LIDER DESARROLLO DE SISTEMAS JR.</t>
  </si>
  <si>
    <t>angel.herrera@multiva.com.mx</t>
  </si>
  <si>
    <t>JHONATAN GRAJALES OVANDO</t>
  </si>
  <si>
    <t>PROGRAMADOR SR</t>
  </si>
  <si>
    <t>jhonatan.grajales@multiva.com.mx</t>
  </si>
  <si>
    <t>LUIS ENRIQUE TOVAR MEDINA</t>
  </si>
  <si>
    <t>GERENTE DE DESARROLLO DE SISTEMAS</t>
  </si>
  <si>
    <t>luis.tovar@multiva.com.mx</t>
  </si>
  <si>
    <t>TANIA CONCEPCION HIDALGO BAEZA</t>
  </si>
  <si>
    <t>tania.hidalgo@multiva.com.mx</t>
  </si>
  <si>
    <t>FRANCISCO HUMBERTO HERNANDEZ FERRUZ</t>
  </si>
  <si>
    <t>francisco.hernandezf@multiva.com.mx</t>
  </si>
  <si>
    <t>WILBER MANZANO CATALAN</t>
  </si>
  <si>
    <t>DIRECTOR DESARROLLO DE SISTEMAS</t>
  </si>
  <si>
    <t>wilber.manzano@multiva.com.mx</t>
  </si>
  <si>
    <t>MARIANA GOMEZ SANDOVAL</t>
  </si>
  <si>
    <t>LIDER DESARROLLO DE SISTEMAS SR</t>
  </si>
  <si>
    <t>mariana.gomez@multiva.com.mx</t>
  </si>
  <si>
    <t>MARTHA ALMARAZ CASTRO</t>
  </si>
  <si>
    <t>SUBDIRECTORA DESARROLLO CORE BANCARIO</t>
  </si>
  <si>
    <t>martha.almaraz@multiva.com.mx</t>
  </si>
  <si>
    <t>NESTOR DANIEL MORALES LAZARO</t>
  </si>
  <si>
    <t>nestor.morales@multiva.com.mx</t>
  </si>
  <si>
    <t>RAFAEL SANCHEZ CASTRO</t>
  </si>
  <si>
    <t>rafael.sanchez@multiva.com.mx</t>
  </si>
  <si>
    <t>GUSTAVO BERUMEN RUVALCABA</t>
  </si>
  <si>
    <t>gustavo.berumen@multiva.com.mx</t>
  </si>
  <si>
    <t>ALDO RAUL ADAUTA GALAN</t>
  </si>
  <si>
    <t>aldo.adauta@multiva.com.mx</t>
  </si>
  <si>
    <t>JORGE PEREZ FAUSTINO</t>
  </si>
  <si>
    <t>jorge.perez@multiva.com.mx</t>
  </si>
  <si>
    <t>PEDRO SALOMON DE LEON CABELLO</t>
  </si>
  <si>
    <t>pedro.deleon@multiva.com.mx</t>
  </si>
  <si>
    <t>ERIKA GARCIA ORTEGA</t>
  </si>
  <si>
    <t>erika.garcia@multiva.com.mx</t>
  </si>
  <si>
    <t>VICTOR DE LA ROSA JIMENEZ</t>
  </si>
  <si>
    <t>ESPECIALISTA DE DESARROLLO</t>
  </si>
  <si>
    <t>victor.delarosa@multiva.com.mx</t>
  </si>
  <si>
    <t>ROGERT CHARGOY MARTINEZ</t>
  </si>
  <si>
    <t>rogert.chargoy@multiva.com.mx</t>
  </si>
  <si>
    <t>JOSE PATRICIO GONZALEZ CERVANTES</t>
  </si>
  <si>
    <t>patricio.gonzalez@multiva.com.mx</t>
  </si>
  <si>
    <t>FRANCISCO JAVIER PLATA GARCIA</t>
  </si>
  <si>
    <t>francisco.plata@multiva.com.mx</t>
  </si>
  <si>
    <t>CRISTIAN FLORES SILIO</t>
  </si>
  <si>
    <t>cristian.flores@multiva.com.mx</t>
  </si>
  <si>
    <t>AMIRA ELENA ARENAS BARRIOS</t>
  </si>
  <si>
    <t>DIRECTORA RELACION CON NEGOCIO</t>
  </si>
  <si>
    <t>amira.arenas@multiva.com.mx</t>
  </si>
  <si>
    <t>YOLANDA ARELI PAEZ ALVAREZ</t>
  </si>
  <si>
    <t>GERENTE DE RELACION CON NEGOCIO</t>
  </si>
  <si>
    <t>yolanda.paez@multiva.com.mx</t>
  </si>
  <si>
    <t>MARIA ELENA VEGA HERNANDEZ</t>
  </si>
  <si>
    <t>GESTOR DE PROCESOS DE TI</t>
  </si>
  <si>
    <t>elena.vega@multiva.com.mx</t>
  </si>
  <si>
    <t>KARLA IVONNE ESTRADA LUNA</t>
  </si>
  <si>
    <t>LIDER ASEGURAMIENTO CALIDAD DE SOFTWARE</t>
  </si>
  <si>
    <t>karla.estrada@multiva.com.mx</t>
  </si>
  <si>
    <t>JOSE FABIAN REYES MAYORGA</t>
  </si>
  <si>
    <t>GESTOR DE VERSIONES Y AMBIENTES</t>
  </si>
  <si>
    <t>jose.reyes@multiva.com.mx</t>
  </si>
  <si>
    <t>EDSON ENRIQUE HERNANDEZ FLORES</t>
  </si>
  <si>
    <t>ANALISTA ASEGURAMIENTO CALIDAD DE SOFTWARE JR</t>
  </si>
  <si>
    <t>edson.hernandez@multiva.com.mx</t>
  </si>
  <si>
    <t>GERARDO AVILA SALGADO</t>
  </si>
  <si>
    <t>gerardo.avila@multiva.com.mx</t>
  </si>
  <si>
    <t>GUSTAVO MARTINEZ CUELLAR</t>
  </si>
  <si>
    <t>gustavo.martinez@multiva.com.mx</t>
  </si>
  <si>
    <t>FRANCISCO JAVIER VILLALVA VALLE</t>
  </si>
  <si>
    <t>francisco.vIllalva@multiva.com.mx</t>
  </si>
  <si>
    <t>ALEJANDRO RUIZ CICOUREL</t>
  </si>
  <si>
    <t>ANALISTA DESARROLLO DE SISTEMAS SR.</t>
  </si>
  <si>
    <t>alejandro.ruiz@multiva.com.mx</t>
  </si>
  <si>
    <t>LEOBARDO ALEJANDRO ALBOR SILVA</t>
  </si>
  <si>
    <t>SUBDIRECTOR DE CENTRO DE INFORMACION</t>
  </si>
  <si>
    <t>leobardo.albor@multiva.com.mx</t>
  </si>
  <si>
    <t>OSCAR CLODOALDO RODRIGUEZ VENEGAS</t>
  </si>
  <si>
    <t>oscar.rodriguez@multiva.com.mx</t>
  </si>
  <si>
    <t>VINICIO ALEJANDRO VALLEJO MAGAÑA</t>
  </si>
  <si>
    <t>vinicio.vallejo@multiva.com.mx</t>
  </si>
  <si>
    <t>DONOVAN REYES REYES</t>
  </si>
  <si>
    <t>donovan.reyes@multiva.com.mx</t>
  </si>
  <si>
    <t>JUAN RAMON RENDON BELLO</t>
  </si>
  <si>
    <t>ramon.rendon@multiva.com.mx</t>
  </si>
  <si>
    <t>HIPOLITO CALZADA GONZALEZ</t>
  </si>
  <si>
    <t>hipolito.calzada@multiva.com.mx</t>
  </si>
  <si>
    <t>LEON ALBERTO TEJA ZUÑIGA</t>
  </si>
  <si>
    <t>DIRECTOR DE SISTEMAS DE PAGO</t>
  </si>
  <si>
    <t>alberto.teja@multiva.com.mx</t>
  </si>
  <si>
    <t>GENARO AGUSTIN HERNANDEZ RAMOS</t>
  </si>
  <si>
    <t>GERENTE DE SISTEMAS DE PAGO</t>
  </si>
  <si>
    <t>genaro.hernandez@multiva.com.mx</t>
  </si>
  <si>
    <t>CARLOS DAVID CALDERON REYES</t>
  </si>
  <si>
    <t>carlos.calderon@multiva.com.mx</t>
  </si>
  <si>
    <t>LUIS MANCERA FUENTES</t>
  </si>
  <si>
    <t>LIDER SISTEMAS DE PAGO SR.</t>
  </si>
  <si>
    <t>luis.mancera@multiva.com.mx</t>
  </si>
  <si>
    <t>DIANA ANGELICA FLORES MORA</t>
  </si>
  <si>
    <t>diana.flores@multiva.com.mx</t>
  </si>
  <si>
    <t>OMAR LOPEZ MEJIA</t>
  </si>
  <si>
    <t>omar.lopez@multiva.com.mx</t>
  </si>
  <si>
    <t>JUAN ALBERTO CRUZ DIAZ</t>
  </si>
  <si>
    <t>GERENTE DESARROLLO T24</t>
  </si>
  <si>
    <t>juan.cruz@multiva.com.mx</t>
  </si>
  <si>
    <t>CESAR PACHECO MARTINEZ</t>
  </si>
  <si>
    <t>LIDER DESARROLLO DE SISTEMAS SR. T24</t>
  </si>
  <si>
    <t>cesar.pacheco@multiva.com.mx</t>
  </si>
  <si>
    <t>FERNANDO ADRIAN BAUTISTA FRANCO</t>
  </si>
  <si>
    <t>fernando.bautista@multiva.com.mx</t>
  </si>
  <si>
    <t>ENRIQUE BENAVIDES SILVERMAN</t>
  </si>
  <si>
    <t>enrique.benavides@multiva.com.mx</t>
  </si>
  <si>
    <t>KAREN NATALI TRUJILLO GALAN</t>
  </si>
  <si>
    <t>karen.trujillo@multiva.com.mx</t>
  </si>
  <si>
    <t>JAEL ADAYA SERRANO VERNET</t>
  </si>
  <si>
    <t>jael.serrano@multiva.com.mx</t>
  </si>
  <si>
    <t>JORGE ARTURO TORRES OCHOA</t>
  </si>
  <si>
    <t>LIDER DESARROLLO DE SISTEMAS T24</t>
  </si>
  <si>
    <t>arturo.torres@multiva.com.mx</t>
  </si>
  <si>
    <t>ALAN GABRIEL MALAGON LOPEZ</t>
  </si>
  <si>
    <t>alan.malagon@multiva.com.mx</t>
  </si>
  <si>
    <t>MARIA DEL CARMEN MONTIEL LEON</t>
  </si>
  <si>
    <t>DIRECTORA EJECUTIVA OPERACION TI E INFRAESTRUCTURA</t>
  </si>
  <si>
    <t>carmen.montiel@multiva.com.mx</t>
  </si>
  <si>
    <t>JESUS ALBERTO GONZALEZ VAZQUEZ</t>
  </si>
  <si>
    <t>SUBDIRECTOR - ARQUITECTO DE APLICACIONES</t>
  </si>
  <si>
    <t>jesus.gonzalez@multiva.com.mx</t>
  </si>
  <si>
    <t>PEDRO AVILA BUSTAMANTE</t>
  </si>
  <si>
    <t>SUBDIRECTOR CENTRO DE DATOS Y TELECOMUNICACIONES</t>
  </si>
  <si>
    <t>pedro.avila@multiva.com.mx</t>
  </si>
  <si>
    <t>JUAN IGNACIO GONZALEZ GARGALLO</t>
  </si>
  <si>
    <t>ARQUITECTO DE TELECOMUNICACIONES</t>
  </si>
  <si>
    <t>ignacio.gonzalez@multiva.com.mx</t>
  </si>
  <si>
    <t>ALBERTO MARTINEZ RUIZ</t>
  </si>
  <si>
    <t>GERENTE INFRAESTRUCTURA DE SISTEMAS</t>
  </si>
  <si>
    <t>alberto.martinez@multiva.com.mx</t>
  </si>
  <si>
    <t>ISAI MORALES MEJIA</t>
  </si>
  <si>
    <t>LIDER SR TELECOMUNICACIONES</t>
  </si>
  <si>
    <t>isai.morales@multiva.com.mx</t>
  </si>
  <si>
    <t>NEXAR OLIVO PEREZ</t>
  </si>
  <si>
    <t>GERENTE CENTRO DE DATOS</t>
  </si>
  <si>
    <t>nexar.olivo@multiva.com.mx</t>
  </si>
  <si>
    <t>GUILLERMO DOMINGUEZ ALANIS</t>
  </si>
  <si>
    <t>LIDER SR SOPORTE A SUCURSALES</t>
  </si>
  <si>
    <t>guillermo.dominguez@multiva.com.mx</t>
  </si>
  <si>
    <t>DULCE VIRGINIA ESTRADA PACHECO</t>
  </si>
  <si>
    <t>ANALISTA TELECOMUNICACIONES SR.</t>
  </si>
  <si>
    <t>dulce.estrada@multiva.com.mx</t>
  </si>
  <si>
    <t>ANDRES GUILLERMO FIERRO HERRERA</t>
  </si>
  <si>
    <t>SUBDIRECTOR SERVICIOS TI</t>
  </si>
  <si>
    <t>andres.fierro@multiva.com.mx</t>
  </si>
  <si>
    <t>GUSTAVO ROSAS SALMONTE</t>
  </si>
  <si>
    <t>LIDER MONITOREO JR</t>
  </si>
  <si>
    <t>gustavo.rsalmonte@multiva.com.mx</t>
  </si>
  <si>
    <t>DARIO GUADARRAMA ALVAREZ</t>
  </si>
  <si>
    <t>LIDER JR DE TECNOLOGIAS DE USUARIO FINAL</t>
  </si>
  <si>
    <t>dario.guadarrama@multiva.com.mx</t>
  </si>
  <si>
    <t>RAUL RUIZ ERREGUIN</t>
  </si>
  <si>
    <t>SOPORTE TECNICO</t>
  </si>
  <si>
    <t>raul.ruiz@multiva.com.mx</t>
  </si>
  <si>
    <t>RICARDO MANUEL ROSAS MARTINEZ</t>
  </si>
  <si>
    <t>ANALISTA DE SOPORTE TECNICO</t>
  </si>
  <si>
    <t>ricardo.rosas@multiva.com.mx</t>
  </si>
  <si>
    <t>RODOLFO REYES REYES</t>
  </si>
  <si>
    <t>LIDER DE PROYECTO SR</t>
  </si>
  <si>
    <t>rodolfo.reyes@multiva.com.mx</t>
  </si>
  <si>
    <t>GONZALO LOPEZ GUZMAN</t>
  </si>
  <si>
    <t>GERENTE DE MESA DE TI</t>
  </si>
  <si>
    <t>gonzalo.lopez@multiva.com.mx</t>
  </si>
  <si>
    <t>OSCAR EMMANUEL GARCIA CASTILLO</t>
  </si>
  <si>
    <t>SUBDIRECTOR SISTEMAS INFRAESTRUCTURA</t>
  </si>
  <si>
    <t>oscar.garcia@multiva.com.mx</t>
  </si>
  <si>
    <t>FRANCISCO JAVIER HERNANDEZ AMBRIZ</t>
  </si>
  <si>
    <t>LIDER ADMINISTRACION BASE DE DATOS SR.</t>
  </si>
  <si>
    <t>francisco.hernandez@multiva.com.mx</t>
  </si>
  <si>
    <t>ENRIQUE MENDOZA CONDE</t>
  </si>
  <si>
    <t>LIDER INFRAESTRUCTURA DE SISTEMAS SR</t>
  </si>
  <si>
    <t>enrique.mendoza@multiva.com.mx</t>
  </si>
  <si>
    <t>RODOLFO QUIROZ HERNANDEZ</t>
  </si>
  <si>
    <t>rodolfo.quiroz@multiva.com.mx</t>
  </si>
  <si>
    <t>RODRIGO PALACIOS FAJARDO</t>
  </si>
  <si>
    <t>LIDER SOPORTE A APLICACIONES SR.</t>
  </si>
  <si>
    <t>rodrigo.palacios@multiva.com.mx</t>
  </si>
  <si>
    <t>ROBERTO CARLOS BECERRIL NAVA</t>
  </si>
  <si>
    <t>GERENTE ADMINISTRACION BASES DE DATOS</t>
  </si>
  <si>
    <t>roberto.becerril@multiva.com.mx</t>
  </si>
  <si>
    <t>JAVIER GOMEZ PELCASTRE</t>
  </si>
  <si>
    <t>javier.gomez@multiva.com.mx</t>
  </si>
  <si>
    <t>DANTE CASTILLO HERNANDEZ</t>
  </si>
  <si>
    <t>ANALISTA DE SISTEMAS JR</t>
  </si>
  <si>
    <t>dante.castillo@multiva.com.mx</t>
  </si>
  <si>
    <t>JOSE BENITO LOYOLA REYES</t>
  </si>
  <si>
    <t>DIRECTOR DE SEGURIDAD OPERATIVA</t>
  </si>
  <si>
    <t>benito.loyola@multiva.com.mx</t>
  </si>
  <si>
    <t>IVAN HUERTA HERNANDEZ</t>
  </si>
  <si>
    <t>ivan.huerta@multiva.com.mx</t>
  </si>
  <si>
    <t>ALAN FRANCO GUTIERREZ</t>
  </si>
  <si>
    <t>LIDER SOPORTE A APLICACIONES JR</t>
  </si>
  <si>
    <t>alan.franco@multiva.com.mx</t>
  </si>
  <si>
    <t>JESUS TORRES ALONSO</t>
  </si>
  <si>
    <t>jesus.torres@multiva.com.mx</t>
  </si>
  <si>
    <t>GILBERTO CORDOVA MORALES</t>
  </si>
  <si>
    <t>OPERADOR DE SISTEMAS</t>
  </si>
  <si>
    <t>gilberto.cordova@multiva.com.mx</t>
  </si>
  <si>
    <t>CARLOS ESTEBAN SUAREZ REYES</t>
  </si>
  <si>
    <t>carlos.suarez@multiva.com.mx</t>
  </si>
  <si>
    <t>JORGE JAIMES DIAZ</t>
  </si>
  <si>
    <t>jorge.jaimes@multiva.com.mx</t>
  </si>
  <si>
    <t>MALCOLM NELSON VANOYE CRUZ</t>
  </si>
  <si>
    <t>SUBDIRECTOR OPERACION CORE BANCARIO</t>
  </si>
  <si>
    <t>malcolm.vanoye@multiva.com.mx</t>
  </si>
  <si>
    <t>ALVARO CLAVEL HABANA</t>
  </si>
  <si>
    <t>LIDER DE OPERACION DE SISTEMAS (MERCADOS)</t>
  </si>
  <si>
    <t>alvaro.clavel@multiva.com.mx</t>
  </si>
  <si>
    <t>HUMBERTO CASTREJON ARROYO</t>
  </si>
  <si>
    <t>humberto.castrejon@multiva.com.mx</t>
  </si>
  <si>
    <t>ANA KAREN BALDERAS ARREOLA</t>
  </si>
  <si>
    <t>ana.balderas@multiva.com.mx</t>
  </si>
  <si>
    <t>SERGIO ARMANDO CARBAJAL PINEDA</t>
  </si>
  <si>
    <t>LIDER OPERACION DE SISTEMAS CORE BANCARIO</t>
  </si>
  <si>
    <t>sergio.carbajal@multiva.com.mx</t>
  </si>
  <si>
    <t>CARLOS EDUARDO RAMIREZ PALMA</t>
  </si>
  <si>
    <t>SUBDIRECTOR SISTEMAS PRODUCCION</t>
  </si>
  <si>
    <t>carlos.ramirez@multiva.com.mx</t>
  </si>
  <si>
    <t>EDUARDO VIDAL GALLARDO</t>
  </si>
  <si>
    <t>eduardo.vidal@multiva.com.mx</t>
  </si>
  <si>
    <t>JOSEFINA GUTIERREZ CORIA</t>
  </si>
  <si>
    <t>GERENTE DE GESTION DE INCIDENTES Y PROBLEMAS</t>
  </si>
  <si>
    <t>josefina.gutierrez@multiva.com.mx</t>
  </si>
  <si>
    <t>LORELY CRISTINA AYALA MACIEL</t>
  </si>
  <si>
    <t>SUBDIRECTORA DE SEGURIDAD OPERATIVA</t>
  </si>
  <si>
    <t>lorely.ayala@multiva.com.mx</t>
  </si>
  <si>
    <t>JESUS ALBERTO ORTIZ HERRERA</t>
  </si>
  <si>
    <t>GERENTE SEGURIDAD OPERATIVA</t>
  </si>
  <si>
    <t>jesus.ortiz@multiva.com.mx</t>
  </si>
  <si>
    <t>RAFAEL MARTINEZ CONTRERAS</t>
  </si>
  <si>
    <t>LIDER SEGURIDAD OPERATIVA SR</t>
  </si>
  <si>
    <t>rafael.mcontreras@multiva.com.mx</t>
  </si>
  <si>
    <t>LUIS ENRIQUE LOZANO MONTOYA</t>
  </si>
  <si>
    <t>LIDER SEGURIDAD OPERATIVA</t>
  </si>
  <si>
    <t>luis.lozano@multiva.com.mx</t>
  </si>
  <si>
    <t>HECTOR GABRIEL CHIMECATL HERNANDEZ</t>
  </si>
  <si>
    <t>hector.chimecatl@multiva.com.mx</t>
  </si>
  <si>
    <t>JOAN MANUEL GARCIA CRUZ</t>
  </si>
  <si>
    <t>GERENTE CONTROL DE ACCESOS</t>
  </si>
  <si>
    <t>joan.garcia@multiva.com.mx</t>
  </si>
  <si>
    <t>ESMERALDA RAMIREZ LARA</t>
  </si>
  <si>
    <t>ANALISTA CONTROL DE ACCESOS JR.</t>
  </si>
  <si>
    <t>esmeralda.ramirez@multiva.com.mx</t>
  </si>
  <si>
    <t>LUIS OCTAVIO SANCHEZ CENTENO</t>
  </si>
  <si>
    <t>DIRECTOR EJECUTIVO DE BANCA COMERCIAL Y PRODUCTOS</t>
  </si>
  <si>
    <t>BANCA COMERCIAL Y PRODUCTOS</t>
  </si>
  <si>
    <t>luis.sanchez@multiva.com.mx</t>
  </si>
  <si>
    <t>MARIA ELENA ESTRADA ACEVEDO</t>
  </si>
  <si>
    <t>EJECUTIVO GRANDES CUENTAS</t>
  </si>
  <si>
    <t>elena.estrada@multiva.com.mx</t>
  </si>
  <si>
    <t>HUGO EDUARDO HERNANDEZ OCAMPO</t>
  </si>
  <si>
    <t>ESPECIALISTA ATMS</t>
  </si>
  <si>
    <t>hugo.hernandez@multiva.com.mx</t>
  </si>
  <si>
    <t>OMAR FABRICIO ALVARADO PEREZ</t>
  </si>
  <si>
    <t>omar.alvarado@multiva.com.mx</t>
  </si>
  <si>
    <t>LORENA PAULET MENDOZA JOFFRE</t>
  </si>
  <si>
    <t>ANALISTA DE PRODUCTOS</t>
  </si>
  <si>
    <t>lorena.mendoza@multiva.com.mx</t>
  </si>
  <si>
    <t>MARIA GUADALUPE MUÑOZ MARTINEZ</t>
  </si>
  <si>
    <t>EJECUTIVO DE BANCA SEGUROS</t>
  </si>
  <si>
    <t>maria.munoz@multiva.com.mx</t>
  </si>
  <si>
    <t>ALEJANDRA SANCHEZ CALDERON</t>
  </si>
  <si>
    <t>ESPECIALISTA DE PRODUCTOS</t>
  </si>
  <si>
    <t>alejandra.sanchez@multiva.com.mx</t>
  </si>
  <si>
    <t>YAZMIN GONZALEZ ZAPATA</t>
  </si>
  <si>
    <t>GERENTE DE PRODUCTOS JR</t>
  </si>
  <si>
    <t>yazmin.gonzalez@multiva.com.mx</t>
  </si>
  <si>
    <t>CYNTHIA PATRICIA DAVALOS DELGADO</t>
  </si>
  <si>
    <t>GERENTE DE CREDITO AL CONSUMO</t>
  </si>
  <si>
    <t>cynthia.davalos@multiva.com.mx</t>
  </si>
  <si>
    <t>MAURICIO RODRIGUEZ ZUÑIGA</t>
  </si>
  <si>
    <t>GERENTE PYME</t>
  </si>
  <si>
    <t>mauricio.rodriguez@multiva.com.mx</t>
  </si>
  <si>
    <t>ALBERTO TORRES OLIVEROS</t>
  </si>
  <si>
    <t>EJECUTIVO COMERCIAL PYME</t>
  </si>
  <si>
    <t>alberto.torres@multiva.com.mx</t>
  </si>
  <si>
    <t>VICTOR MANUEL HERNANDEZ LEDESMA</t>
  </si>
  <si>
    <t>SUBDIRECTOR ATM´S</t>
  </si>
  <si>
    <t>victor.hernandez@multiva.com.mx</t>
  </si>
  <si>
    <t>MARIANA CABALLERO CORDOVA</t>
  </si>
  <si>
    <t>SUBDIRECTORA DE GESTION</t>
  </si>
  <si>
    <t>mariana.caballero@multiva.com.mx</t>
  </si>
  <si>
    <t>DIEGO VAZQUEZ LUGO</t>
  </si>
  <si>
    <t>ANALISTA GESTION</t>
  </si>
  <si>
    <t>diego.vazquez@multiva.com.mx</t>
  </si>
  <si>
    <t>RICARDO ARTURO MADRIGAL MARTINEZ</t>
  </si>
  <si>
    <t>SUBDIRECTOR PRODUCTO ADQUIRENTE</t>
  </si>
  <si>
    <t>ricardo.madrigal@multiva.com.mx</t>
  </si>
  <si>
    <t>DIANA SARAI JAIMES GALINDO</t>
  </si>
  <si>
    <t>ANALISTA DE PRODUCTO ADQUIRENTE</t>
  </si>
  <si>
    <t>diana.jaimes@multiva.com.mx</t>
  </si>
  <si>
    <t>FERNANDO BURCIAGA RENDON</t>
  </si>
  <si>
    <t>ESPECIALISTA DE GESTION COMERCIAL</t>
  </si>
  <si>
    <t>fernando.burciaga@multiva.com.mx</t>
  </si>
  <si>
    <t>JENNY VERONICA PEREZ MADRID</t>
  </si>
  <si>
    <t>ESPECIALISTA DE ADQUIRENTE</t>
  </si>
  <si>
    <t>jenny.perez@multiva.com.mx</t>
  </si>
  <si>
    <t>JOSE ALFREDO VALDES RODRIGUEZ</t>
  </si>
  <si>
    <t>DIRECTOR DE CREDITO AL CONSUMO</t>
  </si>
  <si>
    <t>jose.valdes@multiva.com.mx</t>
  </si>
  <si>
    <t>YESENIA LARA BERMUDEZ</t>
  </si>
  <si>
    <t>ESPECIALISTA DE CREDITO AL CONSUMO</t>
  </si>
  <si>
    <t>yesenia.lara@multiva.com.mx</t>
  </si>
  <si>
    <t>ADRIANA CANO BOLAÑOS</t>
  </si>
  <si>
    <t>SUBDIRECTORA CREDITO AL CONSUMO (PLANEACION)</t>
  </si>
  <si>
    <t>adriana.cano@multiva.com.mx</t>
  </si>
  <si>
    <t>JORGE FRANCISCO ACEVEDO CAMPOS</t>
  </si>
  <si>
    <t>SUBDIRECTOR DE CREDITO AL CONSUMO PROMOCION Y CANALES</t>
  </si>
  <si>
    <t>jorge.acevedo@multiva.com.mx</t>
  </si>
  <si>
    <t>JOSE LUIS CUEVAS ESCOBAR</t>
  </si>
  <si>
    <t>DIRECTOR DE BANCA DIGITAL</t>
  </si>
  <si>
    <t>jose.cuevas@multiva.com.mx</t>
  </si>
  <si>
    <t>IVONNE ANAHI PLASCENCIA PADILLA</t>
  </si>
  <si>
    <t>ANALISTA DE NEGOCIO BANCA ELECTRONICA</t>
  </si>
  <si>
    <t>ivonne.plascencia@multiva.com.mx</t>
  </si>
  <si>
    <t>MARIANA ILEANA COSS SANCHEZ</t>
  </si>
  <si>
    <t>mariana.coss@multiva.com.mx</t>
  </si>
  <si>
    <t>ERENDIRA HIRAIZ ALDANA ARROYO</t>
  </si>
  <si>
    <t>ESPECIALISTA DE BANCA DIGITAL</t>
  </si>
  <si>
    <t>erendira.aldana@multiva.com.mx</t>
  </si>
  <si>
    <t>OMAR SERGIO ROMERO VALENCIA</t>
  </si>
  <si>
    <t>ANALISTA DE GESTION COMERCIAL</t>
  </si>
  <si>
    <t>omar.romero@multiva.com.mx</t>
  </si>
  <si>
    <t>KARLA ESTEFANI GARCIA DUEÑAS</t>
  </si>
  <si>
    <t>GERENTE DE ATENCION GEA</t>
  </si>
  <si>
    <t>estefani.garcia@multiva.com.mx</t>
  </si>
  <si>
    <t>ROCIO JAUREGUI OLIVO</t>
  </si>
  <si>
    <t>GERENTE DE COBRANZA ADMINISTRATIVA</t>
  </si>
  <si>
    <t>rocio.jauregui@multiva.com.mx</t>
  </si>
  <si>
    <t>ITZUL AVILA AGUILERA</t>
  </si>
  <si>
    <t>GERENTE DE ADMINISTRACION Y OPER</t>
  </si>
  <si>
    <t>itzul.avila@multiva.com.mx</t>
  </si>
  <si>
    <t>VANESSA BARRERA UGARTE</t>
  </si>
  <si>
    <t>ANALISTA DE ADMINISTRACION Y OPER</t>
  </si>
  <si>
    <t>vanessa.barrera@multiva.com.mx</t>
  </si>
  <si>
    <t>RODRIGO RANGEL GUTIERREZ</t>
  </si>
  <si>
    <t>CAJERO PRINCIPAL COMODIN</t>
  </si>
  <si>
    <t>RICARDO EMMANUEL MARTINEZ BELTRAN</t>
  </si>
  <si>
    <t>SUBGERENTE DE SUCURSAL COMODIN</t>
  </si>
  <si>
    <t>ricardo.martinez@multiva.com.mx</t>
  </si>
  <si>
    <t>FRANCISCO JAVIER RAMOS MENDEZ</t>
  </si>
  <si>
    <t>francisco.ramos@multiva.com.mx</t>
  </si>
  <si>
    <t>JESUS DAVID JUAREZ MORALES</t>
  </si>
  <si>
    <t>COORDINADOR DE ADMINISTRACION Y OPER</t>
  </si>
  <si>
    <t>jesus.juarez@multiva.com.mx</t>
  </si>
  <si>
    <t>EMMANUEL CERVANTES SANABRIA</t>
  </si>
  <si>
    <t>emmanuel.cervantes@multiva.com.mx</t>
  </si>
  <si>
    <t>BRENDA JHOANA JUAREZ GUZMAN</t>
  </si>
  <si>
    <t>SUBGERENTE DE SUCURSAL</t>
  </si>
  <si>
    <t>brenda.juarez@multiva.com.mx</t>
  </si>
  <si>
    <t>MAYRA RUBI LOPEZ ORDOÑEZ</t>
  </si>
  <si>
    <t>mayra.lopez@multiva.com.mx</t>
  </si>
  <si>
    <t>THANIA MARIEL SOSA SALADO</t>
  </si>
  <si>
    <t>SUBDIRECTORA DE BANCA COMERCIAL</t>
  </si>
  <si>
    <t>thania.sosa@multiva.com.mx</t>
  </si>
  <si>
    <t>DANIEL ENRIQUE LOPEZ MUÑOZ</t>
  </si>
  <si>
    <t>GERENTE DE SUCURSAL</t>
  </si>
  <si>
    <t>daniel.lopez@multiva.com.mx</t>
  </si>
  <si>
    <t>JOSE ANTONIO CALDERON ROLDAN</t>
  </si>
  <si>
    <t>EJECUTIVO DE BANCA COMERCIAL SR</t>
  </si>
  <si>
    <t>jose.calderon@multiva.com.mx</t>
  </si>
  <si>
    <t>URIEL VILLAGRAN RIVERA</t>
  </si>
  <si>
    <t>uriel.villagran@multiva.com.mx</t>
  </si>
  <si>
    <t>DAVID CENTENO RODRIGUEZ</t>
  </si>
  <si>
    <t>CAJERO PRINCIPAL</t>
  </si>
  <si>
    <t>MARIA GUADALUPE DE JESUS CONDE NAVARRO</t>
  </si>
  <si>
    <t>maria.conde@multiva.com.mx</t>
  </si>
  <si>
    <t>OSCAR MEDINA GONZALEZ</t>
  </si>
  <si>
    <t>oscar.medina@multiva.com.mx</t>
  </si>
  <si>
    <t>ANA KAREN OSORIO ROSALES</t>
  </si>
  <si>
    <t>ana.osorio@multiva.com.mx</t>
  </si>
  <si>
    <t>ANGEL OMAR MACUIL HERNANDEZ</t>
  </si>
  <si>
    <t>EMILIANO BAEZ LEGORRETA</t>
  </si>
  <si>
    <t>CAJERO UNIVERSAL</t>
  </si>
  <si>
    <t>PAULINA JAHEL GUTIERREZ PEREZ</t>
  </si>
  <si>
    <t>paulina.gutierrez@multiva.com.mx</t>
  </si>
  <si>
    <t>DIANA LAURA LARA RAMIRO</t>
  </si>
  <si>
    <t>diana.lara@multiva.com.mx</t>
  </si>
  <si>
    <t>PAOLA ITZEL ESCOBAR MONTAÑO</t>
  </si>
  <si>
    <t>paola.escobar@multiva.com.mx</t>
  </si>
  <si>
    <t>JORGE RAUL ALVAREZ OCHOA</t>
  </si>
  <si>
    <t>JULIO CESAR GUTIERREZ ROMERO</t>
  </si>
  <si>
    <t>GERENTE DE SUCURSAL A</t>
  </si>
  <si>
    <t>cesar.gutierrez@multiva.com.mx</t>
  </si>
  <si>
    <t>JACOB EFRAIN BADILLO HINOJOSA</t>
  </si>
  <si>
    <t>jacob.badillo@multiva.com.mx</t>
  </si>
  <si>
    <t>MARIA CRUZ ORTEGA MARTINEZ</t>
  </si>
  <si>
    <t>maria.ortega@multiva.com.mx</t>
  </si>
  <si>
    <t>OSWALDO SOE MARTINEZ DE LA CRUZ</t>
  </si>
  <si>
    <t>oswaldo.martinez@multiva.com.mx</t>
  </si>
  <si>
    <t>ROCIO GONZALEZ REYES</t>
  </si>
  <si>
    <t>RUTH MARIA BERENICE MENDOZA ESQUIVEL</t>
  </si>
  <si>
    <t>berenice.mendoza@multiva.com.mx</t>
  </si>
  <si>
    <t>MARTIN JUAREZ RUIZ</t>
  </si>
  <si>
    <t>martin.jruiz@multiva.com.mx</t>
  </si>
  <si>
    <t>MONICA VELAZQUEZ HERRERA</t>
  </si>
  <si>
    <t>monica.velazquez@multiva.com.mx</t>
  </si>
  <si>
    <t>LILIANA SUAREZ MARCELINO</t>
  </si>
  <si>
    <t>liliana.suarez@multiva.com.mx</t>
  </si>
  <si>
    <t>JOSELIN VANGO ZARATE VAZQUEZ</t>
  </si>
  <si>
    <t>YESSICA SELENE MELLADO GUTIERREZ</t>
  </si>
  <si>
    <t>yessica.mellado@multiva.com.mx</t>
  </si>
  <si>
    <t>ALICIA RODRIGUEZ LOPEZ</t>
  </si>
  <si>
    <t>alicia.rodriguez@multiva.com.mx</t>
  </si>
  <si>
    <t>LAURA DEBORAH DIAZ ROMAN</t>
  </si>
  <si>
    <t>laura.diaz@multiva.com.mx</t>
  </si>
  <si>
    <t>BERENICE FRANCO RODRIGUEZ</t>
  </si>
  <si>
    <t>berenice.franco@multiva.com.mx</t>
  </si>
  <si>
    <t>CESAR CASTRO SANCHEZ</t>
  </si>
  <si>
    <t>cesar.csanchez@multiva.com.mx</t>
  </si>
  <si>
    <t>SADIA MORASTITLA PADILLA</t>
  </si>
  <si>
    <t>BRYAN CHRISTOPHER BARONA GARCIA</t>
  </si>
  <si>
    <t>ARACELI VELAZQUEZ SANCHEZ</t>
  </si>
  <si>
    <t>araceli.velazquez@multiva.com.mx</t>
  </si>
  <si>
    <t>INGRID JOCELYNE DAVALOS VIDALES</t>
  </si>
  <si>
    <t>ingrid.davalos@multiva.com.mx</t>
  </si>
  <si>
    <t>MONTSERRAT BARRAGAN BECERRIL</t>
  </si>
  <si>
    <t>EJECUTIVO DE ENLACE</t>
  </si>
  <si>
    <t>montserrat.barragan@multiva.com.mx</t>
  </si>
  <si>
    <t>DANIEL BETO RUIZ</t>
  </si>
  <si>
    <t>daniel.beto@multiva.com.mx</t>
  </si>
  <si>
    <t>DIEGO MOTA GALLEGOS</t>
  </si>
  <si>
    <t>ESTEBAN GALICIA VARGAS</t>
  </si>
  <si>
    <t>JENNIFER JAZMIN CASTILLO LOPEZ</t>
  </si>
  <si>
    <t>JOVANNA PEREZ GUTIERREZ</t>
  </si>
  <si>
    <t>EDGAR ALBERTO MALAGON GOMEZ</t>
  </si>
  <si>
    <t>edgar.malagon@multiva.com.mx</t>
  </si>
  <si>
    <t>JUAN CARLOS HERNANDEZ GARCIA</t>
  </si>
  <si>
    <t>juanc.hernandez@multiva.com.mx</t>
  </si>
  <si>
    <t>MAURY KATHERINE MONTOYA REYES</t>
  </si>
  <si>
    <t>maury.montoya@multiva.com.mx</t>
  </si>
  <si>
    <t>JOSE ALEXIS MARTINEZ GOMEZ</t>
  </si>
  <si>
    <t>jose.martinez@multiva.com.mx</t>
  </si>
  <si>
    <t>DIEGO GALINDO HUITRON</t>
  </si>
  <si>
    <t>EJECUTIVO DE BANCA COMERCIAL JR</t>
  </si>
  <si>
    <t>diego.galindo@multiva.com.mx</t>
  </si>
  <si>
    <t>DANIELA CAROLINA OLVERA VALADEZ</t>
  </si>
  <si>
    <t>daniela.olvera@multiva.com.mx</t>
  </si>
  <si>
    <t>ARIZBETH MAGDALENA GARCIA RIVAS</t>
  </si>
  <si>
    <t>arizbeth.garcia@multiva.com.mx</t>
  </si>
  <si>
    <t>PATRICIA RANGEL VENEGAS</t>
  </si>
  <si>
    <t>ILLIANA JANET NOYOLA GOMEZ</t>
  </si>
  <si>
    <t>illiana.noyola@multiva.com.mx</t>
  </si>
  <si>
    <t>ELIZABETH VEGA MEDINA</t>
  </si>
  <si>
    <t>elizabeth.vega@multiva.com.mx</t>
  </si>
  <si>
    <t>MARIA DE LOS ANGELES HONORATO LEMUS</t>
  </si>
  <si>
    <t>mangeles.honorato@multiva.com.mx</t>
  </si>
  <si>
    <t>EDGAR MENDEZ BENAVIDES</t>
  </si>
  <si>
    <t>edgar.mendez@multiva.com.mx</t>
  </si>
  <si>
    <t>ANGELICA ISABEL PALACIOS MUÑIZ</t>
  </si>
  <si>
    <t>angelica.palacios@multiva.com.mx</t>
  </si>
  <si>
    <t>DANIELA IRAIS GONZALEZ MORENO</t>
  </si>
  <si>
    <t>MICHELL ALEXANDRA CHAVEZ LEGORRETA</t>
  </si>
  <si>
    <t>LISSETTE FLORES VAZQUEZ</t>
  </si>
  <si>
    <t>lissette.flores@multiva.com.mx</t>
  </si>
  <si>
    <t>LORENA YIROMI PARRA MARQUEZ</t>
  </si>
  <si>
    <t>lorena.parra@multiva.com.mx</t>
  </si>
  <si>
    <t>RODRIGO ABELARDO GLORIA RIVERA</t>
  </si>
  <si>
    <t>rodrigo.gloria@multiva.com.mx</t>
  </si>
  <si>
    <t>CARLOS SANABRIA CASTILLO</t>
  </si>
  <si>
    <t>carlos.sanabria@multiva.com.mx</t>
  </si>
  <si>
    <t>JOSUE AARON VEGA MAGOS</t>
  </si>
  <si>
    <t>MARIANA ESTUDILLO DIAZ</t>
  </si>
  <si>
    <t>ANA CECILIA MIYANO ZUÑIGA</t>
  </si>
  <si>
    <t>ana.miyano@multiva.com.mx</t>
  </si>
  <si>
    <t>CATALINA MARIBEL VALENZUELA TENORIO</t>
  </si>
  <si>
    <t>catalina.valenzuela@multiva.com.mx</t>
  </si>
  <si>
    <t>JOSE ALEJANDRO LARA GONZALEZ</t>
  </si>
  <si>
    <t>jose.lara@multiva.com.mx</t>
  </si>
  <si>
    <t>JORGE JIMENEZ SANCHEZ</t>
  </si>
  <si>
    <t>jorge.jimenez@multiva.com.mx</t>
  </si>
  <si>
    <t>CARLOS IVAN PADILLA CRUZ</t>
  </si>
  <si>
    <t>carlos.padilla@multiva.com.mx</t>
  </si>
  <si>
    <t>JORGE SUIL JUAREZ HERNANDEZ</t>
  </si>
  <si>
    <t>ISAIAS MARTIN LOERA FUENTES</t>
  </si>
  <si>
    <t>MARCOS DE LA CRUZ ESTRADA</t>
  </si>
  <si>
    <t>ALDO AGUILAR HERRERA</t>
  </si>
  <si>
    <t>aldo.aguilar@multiva.com.mx</t>
  </si>
  <si>
    <t>KARINA ARIAS LONA</t>
  </si>
  <si>
    <t>karina.arias@multiva.com.mx</t>
  </si>
  <si>
    <t>GERARDO TRUJANO MARQUEZ</t>
  </si>
  <si>
    <t>gerardo.trujano@multiva.com.mx</t>
  </si>
  <si>
    <t>ANGEL JESUS SORIA HERNANDEZ</t>
  </si>
  <si>
    <t>angel.soria@multiva.com.mx</t>
  </si>
  <si>
    <t>ANA RUTH HERNANDEZ ALVARADO</t>
  </si>
  <si>
    <t>ana.halvarado@multiva.com.mx</t>
  </si>
  <si>
    <t>NANCY YESEL OSORNIO CAMARGO</t>
  </si>
  <si>
    <t>nancy.osornio@multiva.com.mx</t>
  </si>
  <si>
    <t>AXEL GABRIEL BAENA BARRAGAN</t>
  </si>
  <si>
    <t>MONSERRAT AIDE MIRANDA CARRILLO</t>
  </si>
  <si>
    <t>HUGO LICONA ISLAS</t>
  </si>
  <si>
    <t>hugo.licona@multiva.com.mx</t>
  </si>
  <si>
    <t>MIRIAM CHAVEZ VALENTIN</t>
  </si>
  <si>
    <t>miriam.chavez@multiva.com.mx</t>
  </si>
  <si>
    <t>EMMANUEL REBOLLO ITURBE</t>
  </si>
  <si>
    <t>emmanuel.rebollo@multiva.com.mx</t>
  </si>
  <si>
    <t>LUCERO RODRIGUEZ RANGEL</t>
  </si>
  <si>
    <t>lucero.rodriguez@multiva.com.mx</t>
  </si>
  <si>
    <t>ANGELICA MARTINEZ ARAUJO</t>
  </si>
  <si>
    <t>angelica.martinez@multiva.com.mx</t>
  </si>
  <si>
    <t>GABRIEL ARROYO MORENO</t>
  </si>
  <si>
    <t>gabriel.arroyo@multiva.com.mx</t>
  </si>
  <si>
    <t>GERARDO ESQUIVEL MENDOZA</t>
  </si>
  <si>
    <t>gerardo.esquivel@multiva.com.mx</t>
  </si>
  <si>
    <t>BRENDA CARINA MORALES JUAREZ</t>
  </si>
  <si>
    <t>brenda.mjuarez@multiva.com.mx</t>
  </si>
  <si>
    <t>GABRIELA BERENICE MALDONADO AYALA</t>
  </si>
  <si>
    <t>AMAIRANI VIZCAYA TERREZ</t>
  </si>
  <si>
    <t>EBER JOIARIB NAVARRETE FLORES</t>
  </si>
  <si>
    <t>eber.navarrete@multiva.com.mx</t>
  </si>
  <si>
    <t>VIRIDIANA TELLEZ MARTINEZ</t>
  </si>
  <si>
    <t>viridiana.tellez@multiva.com.mx</t>
  </si>
  <si>
    <t>ANA LIZETTE TINAJERO VEGA</t>
  </si>
  <si>
    <t>ana.tinajero@multiva.com.mx</t>
  </si>
  <si>
    <t>ELIZABETH CID DOMINGUEZ</t>
  </si>
  <si>
    <t>elizabeth.cid@multiva.com.mx</t>
  </si>
  <si>
    <t>MIRIAM YARAI GUERRA LOPEZ</t>
  </si>
  <si>
    <t>ALEJANDRO CHULA DONADO</t>
  </si>
  <si>
    <t>DANIEL GUTIERREZ SOTO</t>
  </si>
  <si>
    <t>ERICK ARROYO ALMARAZ</t>
  </si>
  <si>
    <t>erick.arroyo@multiva.com.mx</t>
  </si>
  <si>
    <t>MARINA MORALES GARCIA</t>
  </si>
  <si>
    <t>marina.morales@multiva.com.mx</t>
  </si>
  <si>
    <t>ADRIAN LAGUNAS VALDES</t>
  </si>
  <si>
    <t>adrian.lagunas@multiva.com.mx</t>
  </si>
  <si>
    <t>DIANA SAMANTHA TORRES SOLIS</t>
  </si>
  <si>
    <t>diana.torres@multiva.com.mx</t>
  </si>
  <si>
    <t>GUILLERMO CARLOS ANTONIO ZENEA ARELLANO</t>
  </si>
  <si>
    <t>MARIA JOSE OCAÑA CRUZ</t>
  </si>
  <si>
    <t>JORGE GALLEGOS PEDROZA</t>
  </si>
  <si>
    <t>jorge.gallegos@multiva.com.mx</t>
  </si>
  <si>
    <t>NOHEMI MIRELES ZAVALA</t>
  </si>
  <si>
    <t>nohemi.mireles@multiva.com.mx</t>
  </si>
  <si>
    <t>NALLELY GUTIERREZ GUTIERREZ</t>
  </si>
  <si>
    <t>nallely.gutierrez@multiva.com.mx</t>
  </si>
  <si>
    <t>INGRID JOCELYN PERALTA CORONA</t>
  </si>
  <si>
    <t>LUIS ALFREDO ORTIZ VIZCARRO</t>
  </si>
  <si>
    <t>ORLANDO ORTIZ FLORES</t>
  </si>
  <si>
    <t>orlando.ortiz@multiva.com.mx</t>
  </si>
  <si>
    <t>RODOLFO RUIZ MORALES</t>
  </si>
  <si>
    <t>rodolfo.ruiz@multiva.com.mx</t>
  </si>
  <si>
    <t>JESUS VAZQUEZ GARCIA</t>
  </si>
  <si>
    <t>jesus.vazquez@multiva.com.mx</t>
  </si>
  <si>
    <t>JUAN ROBERTO ESPINOSA GARCIA</t>
  </si>
  <si>
    <t>juan.espinosa@multiva.com.mx</t>
  </si>
  <si>
    <t>ERIKA ROMERO MARTINEZ</t>
  </si>
  <si>
    <t>LUIS ANGEL LOPEZ ORTIZ</t>
  </si>
  <si>
    <t>ARMANDO ACEVEDO GARCIA</t>
  </si>
  <si>
    <t>DGA BANCA DE GOBIERNO E INSTITUCIONAL</t>
  </si>
  <si>
    <t>DIRECCION BANCA DE GOBIERNO E INSTITUCIONAL</t>
  </si>
  <si>
    <t>armando.acevedo@multiva.com.mx</t>
  </si>
  <si>
    <t>MARISOL ELIZALDE URIBE</t>
  </si>
  <si>
    <t>marisol.elizalde@multiva.com.mx</t>
  </si>
  <si>
    <t>FRANCISCO XAVIER VENTURA VELAZQUEZ</t>
  </si>
  <si>
    <t xml:space="preserve">KAREM MERIELLE ROJO </t>
  </si>
  <si>
    <t>DIRECTOR EJECUTIVO PROMOCION BANCA DE GOBIERNO</t>
  </si>
  <si>
    <t>karem.rojo@multiva.com.mx</t>
  </si>
  <si>
    <t>JORGE GOMEZ LECHUGA</t>
  </si>
  <si>
    <t>DIRECTOR EJECUTIVO ESTRUCTURACION</t>
  </si>
  <si>
    <t>jorge.gomez@multiva.com.mx</t>
  </si>
  <si>
    <t>JESUS ALFREDO GOMEZ DIEGO</t>
  </si>
  <si>
    <t>SUBDIRECTOR DE ESTRUCTURACION GOBIERNO E INFRAESTRUCTURA</t>
  </si>
  <si>
    <t>jesus.gomezd@multiva.com.mx</t>
  </si>
  <si>
    <t>RICARDO DIEGO ALMANZA VASQUEZ</t>
  </si>
  <si>
    <t>ricardo.almanza@multiva.com.mx</t>
  </si>
  <si>
    <t>EDUARDO ALEJANDRO ESCOBEDO ALVAREZ</t>
  </si>
  <si>
    <t>DIRECTOR DE BANCA DE GOBIERNO</t>
  </si>
  <si>
    <t>eduardo.escobedo@multiva.com.mx</t>
  </si>
  <si>
    <t>ERIKA JUDITH VILLASEÑOR GARCIA</t>
  </si>
  <si>
    <t>GERENTE DE CREDITO BANCA DE GOBIERNO</t>
  </si>
  <si>
    <t>erika.villasenor@multiva.com.mx</t>
  </si>
  <si>
    <t>ITZAMARA IVETTE SALAZAR VOLANTE</t>
  </si>
  <si>
    <t>SUBDIRECTORA ESTRUCTURACION BANCA DE GOBIERNO</t>
  </si>
  <si>
    <t>itzamara.salazar@multiva.com.mx</t>
  </si>
  <si>
    <t>ADRIANA ERANDI ARIZMENDI RIVERA</t>
  </si>
  <si>
    <t>DIRECTORA DE ESTRUCTURACION</t>
  </si>
  <si>
    <t>adriana.arizmendi@multiva.com.mx</t>
  </si>
  <si>
    <t>JERONIMO MILLS HEGEWISCH</t>
  </si>
  <si>
    <t>GERENTE DE ESTRUCTURACION</t>
  </si>
  <si>
    <t>jeronimo.mills@multiva.com.mx</t>
  </si>
  <si>
    <t>OSCAR AVILES URBINA</t>
  </si>
  <si>
    <t>oscar.aviles@multiva.com.mx</t>
  </si>
  <si>
    <t>FERNANDO KAROL ARECHEDERRA MUSTRE</t>
  </si>
  <si>
    <t>DIRECTOR EJECUTIVO DE GOBIERNO</t>
  </si>
  <si>
    <t>karol.arechederra@multiva.com.mx</t>
  </si>
  <si>
    <t>ANYLU VAZQUEZ ROMERO</t>
  </si>
  <si>
    <t>SUBDIRECTORA DE BANCA DE GOBIERNO</t>
  </si>
  <si>
    <t>anylu.vazquez@multiva.com.mx</t>
  </si>
  <si>
    <t>AQUILES ARTURO BALAAM FLORES</t>
  </si>
  <si>
    <t>aquiles.balaam@multiva.com.mx</t>
  </si>
  <si>
    <t>CLAUDIA VERONICA ESPINOZA OLIVAS</t>
  </si>
  <si>
    <t>SUBDIRECTORA DE CAPTACION GOBIERNO E INSTITUCIONES</t>
  </si>
  <si>
    <t>claudia.espinoza@multiva.com.mx</t>
  </si>
  <si>
    <t>KARINA BEATRIZ GUADALUPE MARTINEZ LEDEZMA</t>
  </si>
  <si>
    <t>GERENTE DE CONTROL Y SEGUIMIENTO</t>
  </si>
  <si>
    <t>karina.martinez@multiva.com.mx</t>
  </si>
  <si>
    <t>LILIANA RUBI GONZALEZ TOPETE</t>
  </si>
  <si>
    <t>DIRECTORA BANCA DE EMPRESAS ESTRUCTURACION</t>
  </si>
  <si>
    <t>liliana.gonzalez@multiva.com.mx</t>
  </si>
  <si>
    <t>BRENDA MORALES LOPEZ</t>
  </si>
  <si>
    <t>brenda.morales@multiva.com.mx</t>
  </si>
  <si>
    <t>ARELI VILLEDA BARANDA</t>
  </si>
  <si>
    <t>GERENTE BANCA DE EMPRESAS ESTRUCTURACION</t>
  </si>
  <si>
    <t>areli.villeda@multiva.com.mx</t>
  </si>
  <si>
    <t>AURORA RUIZ LEYTON</t>
  </si>
  <si>
    <t>aurora.ruiz@multiva.com.mx</t>
  </si>
  <si>
    <t>DENISSE DANAE DIAZ GUERRERO</t>
  </si>
  <si>
    <t>denisse.diaz@multiva.com.mx</t>
  </si>
  <si>
    <t>CARLOS GABRIEL RUEDA ALTAMIRANO</t>
  </si>
  <si>
    <t>EJECUTIVO GESTION Y SEGUIMIENTO SR.</t>
  </si>
  <si>
    <t>carlos.rueda@multiva.com.mx</t>
  </si>
  <si>
    <t>AIDA CLAUDIA VARELA MENDOZA</t>
  </si>
  <si>
    <t>GERENTE DE OPERACION Y SEGUIMIENTO</t>
  </si>
  <si>
    <t>aida.varela@multiva.com.mx</t>
  </si>
  <si>
    <t>ISRAEL LAZCANO MENDOZA</t>
  </si>
  <si>
    <t>israel.lazcano@multiva.com.mx</t>
  </si>
  <si>
    <t>REBECA JAYME TORRES</t>
  </si>
  <si>
    <t>SUBDIRECTORA DE BANCA INFRAESTRUCTURA</t>
  </si>
  <si>
    <t>rebeca.jayme@multiva.com.mx</t>
  </si>
  <si>
    <t>CRISTINA RODRIGUEZ MANDUJANO</t>
  </si>
  <si>
    <t>GERENTE DE BANCA DE INFRAESTRUCTURA</t>
  </si>
  <si>
    <t>cristina.rodriguez@multiva.com.mx</t>
  </si>
  <si>
    <t>JUAN DANIEL MENDOZA VICTORIA</t>
  </si>
  <si>
    <t>SUBDIRECTOR DE ESTRUCTURACION</t>
  </si>
  <si>
    <t>juan.mendoza@multiva.com.mx</t>
  </si>
  <si>
    <t>ACBOR GONZALEZ BARRIOS</t>
  </si>
  <si>
    <t>DIRECTOR EJECUTIVO DE PROMOCION INSTITUCIONAL</t>
  </si>
  <si>
    <t>acbor.gonzalez@multiva.com.mx</t>
  </si>
  <si>
    <t>LAURA DENISSE VAZQUEZ MORENO</t>
  </si>
  <si>
    <t>EJECUTIVO SR PROMOCION INSTITUCIONAL</t>
  </si>
  <si>
    <t>laura.vazquez@multiva.com.mx</t>
  </si>
  <si>
    <t>ROBERTO DUCOING LOPEZ</t>
  </si>
  <si>
    <t>SUBDIRECTOR DE PROMOCION INSTITUCIONAL</t>
  </si>
  <si>
    <t>roberto.ducoing@multiva.com.mx</t>
  </si>
  <si>
    <t>CESAR ALBERTO MARTINEZ BARANDA</t>
  </si>
  <si>
    <t>DIRECTOR EJECUTIVO DE ENLACE INSTITUCIONAL</t>
  </si>
  <si>
    <t>cesar.baranda@multiva.com.mx</t>
  </si>
  <si>
    <t>ALDO OMAR BARRANCO ATENCO</t>
  </si>
  <si>
    <t>GERENTE ENTIDADES FINANCIERAS NO BANCARIAS</t>
  </si>
  <si>
    <t>aldo.barranco@multiva.com.mx</t>
  </si>
  <si>
    <t>EDGAR ILLESCAS RAMIREZ</t>
  </si>
  <si>
    <t>DIRECTOR PROMOCION DE ENTIDADES FINANCIERAS NO BANCARIAS</t>
  </si>
  <si>
    <t>edgar.illescas@multiva.com.mx</t>
  </si>
  <si>
    <t>LUIS DE LA FUENTE MORALES</t>
  </si>
  <si>
    <t>DGA BANCA CORPORATIVA Y EMPRESAS</t>
  </si>
  <si>
    <t>DIRECCION BANCA CORPORATIVA Y EMPRESAS</t>
  </si>
  <si>
    <t>luis.delafuente@multiva.com.mx</t>
  </si>
  <si>
    <t>JACQUELINE PAOLA VELARDE CARRASCO</t>
  </si>
  <si>
    <t>jacqueline.velarde@multiva.com.mx</t>
  </si>
  <si>
    <t>OSCAR VICTOR ESCOBEDO GARCIA</t>
  </si>
  <si>
    <t>ROSSEL HERNANDEZ MIRANDA</t>
  </si>
  <si>
    <t>SUBDIRECTORA DE ONBOARDING Y SOPORTE</t>
  </si>
  <si>
    <t>rossel.hernandez@multiva.com.mx</t>
  </si>
  <si>
    <t>JENIFER ANTONIO HERNANDEZ</t>
  </si>
  <si>
    <t>ANALISTA DE ONBOARDING Y SOPORTE</t>
  </si>
  <si>
    <t>jenifer.antonio@multiva.com.mx</t>
  </si>
  <si>
    <t>ANA ALICIA GOMEZ LOPEZ</t>
  </si>
  <si>
    <t>EJECUTIVO INVERSION BANCA DE EMPRESAS SR</t>
  </si>
  <si>
    <t>ana.gomez@multiva.com.mx</t>
  </si>
  <si>
    <t>DANIEL ALEJANDRO SANCHEZ LOPEZ</t>
  </si>
  <si>
    <t>EJECUTIVO INVERSION BANCA DE EMPRESAS JR</t>
  </si>
  <si>
    <t>JUAN CARLOS GONZALEZ VELAZQUEZ</t>
  </si>
  <si>
    <t>juan.gonzalez@multiva.com.mx</t>
  </si>
  <si>
    <t>YAQUELINE PEREZ FLORES</t>
  </si>
  <si>
    <t>yaqueline.perez@multiva.com.mx</t>
  </si>
  <si>
    <t>SUSANA CAMPUZANO CARRILLO</t>
  </si>
  <si>
    <t>susana.campuzano@multiva.com.mx</t>
  </si>
  <si>
    <t>EMILIO IVAN INZUNZA MIRANDA</t>
  </si>
  <si>
    <t>SUBGERENTE DE ONBOARDING Y SOPORTE</t>
  </si>
  <si>
    <t>emilio.inzunza@multiva.com.mx</t>
  </si>
  <si>
    <t>LUZ PAMELA PRECIADO GUZMAN</t>
  </si>
  <si>
    <t>luz.preciado@multiva.com.mx</t>
  </si>
  <si>
    <t>MARIA DE LOS ANGELES FONSECA GUTIERREZ</t>
  </si>
  <si>
    <t>DIRECTOR EJECUTIVO EMPRESAS PROVEEDORES DE GOBIERNO</t>
  </si>
  <si>
    <t>maria.fonseca@multiva.com.mx</t>
  </si>
  <si>
    <t>ABEL RASGADO PEREZ</t>
  </si>
  <si>
    <t>DIRECTOR EJECUTIVO ESTRUCTURACION DE ENERGIA</t>
  </si>
  <si>
    <t>abel.rasgado@multiva.com.mx</t>
  </si>
  <si>
    <t>SUSANA SANDOVAL LEDESMA</t>
  </si>
  <si>
    <t>DIRECTOR ESTRUCTURACION ENERGIA</t>
  </si>
  <si>
    <t>susana.sandoval@multiva.com.mx</t>
  </si>
  <si>
    <t>JOSE DAVID LOZANO KLEINMANN</t>
  </si>
  <si>
    <t>DIRECTOR DE GESTION COMERCIAL</t>
  </si>
  <si>
    <t>jose.lozano@multiva.com.mx</t>
  </si>
  <si>
    <t>VERONICA MARIA GONZALEZ DIAZ DE LEON</t>
  </si>
  <si>
    <t>SUBDIRECTORA DE SEGUIMIENTO</t>
  </si>
  <si>
    <t>veronica.gonzalez@multiva.com.mx</t>
  </si>
  <si>
    <t>IGNACIO SANCHEZ KRAMSKY</t>
  </si>
  <si>
    <t>EJECUTIVO BANCA DE EMPRESAS SR</t>
  </si>
  <si>
    <t>ignacio.kramsky@multiva.com.mx</t>
  </si>
  <si>
    <t>MIGUEL ANGEL BUENDIA RAMIREZ</t>
  </si>
  <si>
    <t>EJECUTIVO DE BANCA CORPORATIVA SR</t>
  </si>
  <si>
    <t>miguel.buendia@multiva.com.mx</t>
  </si>
  <si>
    <t>RODRIGO RAMOS CHAVIRA</t>
  </si>
  <si>
    <t>rodrigo.ramos@multiva.com.mx</t>
  </si>
  <si>
    <t>PAOLA GABARRA MOLLEDA</t>
  </si>
  <si>
    <t>SUBDIRECTORA GESTION COMERCIAL</t>
  </si>
  <si>
    <t>paola.gabarra@multiva.com.mx</t>
  </si>
  <si>
    <t>KATIA GONZALEZ WROOMAN</t>
  </si>
  <si>
    <t>DIRECTORA DE FACTORAJE</t>
  </si>
  <si>
    <t>katia.gonzalez@multiva.com.mx</t>
  </si>
  <si>
    <t>JOSE CARLOS VERGARA VAZQUEZ</t>
  </si>
  <si>
    <t>GERENTE DE FACTORAJE</t>
  </si>
  <si>
    <t>jose.vergara@multiva.com.mx</t>
  </si>
  <si>
    <t>MAURICIO RICARDO FLORES SANTOYO</t>
  </si>
  <si>
    <t>SUBDIRECTOR DE FACTORAJE</t>
  </si>
  <si>
    <t>mauricio.flores@multiva.com.mx</t>
  </si>
  <si>
    <t>ALBERTO GONZALEZ CASTRO</t>
  </si>
  <si>
    <t>PROMOTOR DE FACTORAJE JR</t>
  </si>
  <si>
    <t>alberto.gonzalez@multiva.com.mx</t>
  </si>
  <si>
    <t>MARIA OLIVIA MARTINEZ AVILA</t>
  </si>
  <si>
    <t>olivia.martinez@multiva.com.mx</t>
  </si>
  <si>
    <t>ALEJANDRO DE LA VEGA SOLORZANO</t>
  </si>
  <si>
    <t>DIRECTOR EJECUTIVO PROMOCION NACIONAL</t>
  </si>
  <si>
    <t>alejandro.delavega@multiva.com.mx</t>
  </si>
  <si>
    <t>MIGUEL ANGEL ROQUE RAMIREZ</t>
  </si>
  <si>
    <t>BANQUERO ESPECIALIZADO</t>
  </si>
  <si>
    <t>miguel.roque@multiva.com.mx</t>
  </si>
  <si>
    <t>LORENZO MANUEL THOMAS RUIZ</t>
  </si>
  <si>
    <t>DIRECTOR EJECUTIVO DE BANCA CORPORATIVA</t>
  </si>
  <si>
    <t>lorenzo.thomas@multiva.com.mx</t>
  </si>
  <si>
    <t>KAROL ANDREA SALCEDO BUENROSTRO</t>
  </si>
  <si>
    <t>karol.salcedo@multiva.com.mx</t>
  </si>
  <si>
    <t>ANYA LORENA DE VAAL GUTIERREZ</t>
  </si>
  <si>
    <t>DIRECTORA DE BANCA CORPORATIVA</t>
  </si>
  <si>
    <t>anya.devaal@multiva.com.mx</t>
  </si>
  <si>
    <t>JESUS ENRIQUE SOSA ANDRADE</t>
  </si>
  <si>
    <t>DIRECTOR BANCA CORPORATIVA</t>
  </si>
  <si>
    <t>enrique.sosa@multiva.com.mx</t>
  </si>
  <si>
    <t>GABRIELA CASTILLA BORBOLLA</t>
  </si>
  <si>
    <t>gabriela.castilla@multiva.com.mx</t>
  </si>
  <si>
    <t>BENJAMIN GRANADOS GARCIA</t>
  </si>
  <si>
    <t>benjamin.granados@multiva.com.mx</t>
  </si>
  <si>
    <t>ADRIANA GOMEZ JUAREZ</t>
  </si>
  <si>
    <t>SUBDIRECTORA DE ESTRUCTURACION</t>
  </si>
  <si>
    <t>adriana.gomez@multiva.com.mx</t>
  </si>
  <si>
    <t>JOEL ARTURO SAMPAYO VARGAS</t>
  </si>
  <si>
    <t>joel.sampayo@multiva.com.mx</t>
  </si>
  <si>
    <t>HEGEL RUIZ FUENTES</t>
  </si>
  <si>
    <t>DIRECTOR DE ESTRUCTURACION GOBIERNO E INFRAESTRUCTURA</t>
  </si>
  <si>
    <t>hegel.ruiz@multiva.com.mx</t>
  </si>
  <si>
    <t>MARCO ANTONIO GUZMAN DUQUE</t>
  </si>
  <si>
    <t>marco.guzman@multiva.com.mx</t>
  </si>
  <si>
    <t>DANIELA NEGRETE DOVAL</t>
  </si>
  <si>
    <t>daniela.negrete@multiva.com.mx</t>
  </si>
  <si>
    <t>CARLOS ALEJANDRO HURTADO DE LA MADRID</t>
  </si>
  <si>
    <t>DIRECTOR EJECUTIVO AGRONEGOCIO</t>
  </si>
  <si>
    <t>carlos.hurtado@multiva.com.mx</t>
  </si>
  <si>
    <t>FLORENTINO DIEGO ALCANTARA MORALES</t>
  </si>
  <si>
    <t>GERENTE ESTRUCTURACION AGRONEGOCIO</t>
  </si>
  <si>
    <t>diego.alcantara@multiva.com.mx</t>
  </si>
  <si>
    <t>RAUL CERON ROSALES</t>
  </si>
  <si>
    <t>SUBDIRECTOR ESTRUCTURACION AGRONEGOCIO</t>
  </si>
  <si>
    <t>raul.ceron@multiva.com.mx</t>
  </si>
  <si>
    <t>LUIS UGALDE LUGO</t>
  </si>
  <si>
    <t>DIRECTOR ESTRUCTURACION AGRONEGOCIO</t>
  </si>
  <si>
    <t>luis.ugalde@multiva.com.mx</t>
  </si>
  <si>
    <t>KARLA VERONICA MONJARAS VEGA</t>
  </si>
  <si>
    <t>karla.monjaras@multiva.com.mx</t>
  </si>
  <si>
    <t>FEDERICO PIZARRO SUAREZ GARCIA</t>
  </si>
  <si>
    <t>DIRECTOR EJECUTIVO DE ESTRUCTURACION INMOBILIARIA</t>
  </si>
  <si>
    <t>federico.pizarro@multiva.com.mx</t>
  </si>
  <si>
    <t>CARLOS CABELLO LOPEZ</t>
  </si>
  <si>
    <t>carlos.cabello@multiva.com.mx</t>
  </si>
  <si>
    <t>HOMERO GARCIA RODRIGUEZ</t>
  </si>
  <si>
    <t>homero.garcia@multiva.com.mx</t>
  </si>
  <si>
    <t>LUIS MIGUEL VALDIVIA HIDALGO</t>
  </si>
  <si>
    <t>luis.valdivia@multiva.com.mx</t>
  </si>
  <si>
    <t>GUSTAVO BENJAMIN ZAMORA HERNANDEZ</t>
  </si>
  <si>
    <t>GERENTE ESTRUCTURACION INMOBILIARIA</t>
  </si>
  <si>
    <t>gustavo.zamora@multiva.com.mx</t>
  </si>
  <si>
    <t>RUBEN ALEJANDRO NAVA NAJERA</t>
  </si>
  <si>
    <t>alejandro.nava@multiva.com.mx</t>
  </si>
  <si>
    <t>NANCY GUTIERREZ ESCUDERO</t>
  </si>
  <si>
    <t>nancy.gutierrez@multiva.com.mx</t>
  </si>
  <si>
    <t>JESUS ADDERLY PONCE SANCHEZ</t>
  </si>
  <si>
    <t>SUBDIRECTOR ESTRUCTURACION INMOBILIARIA</t>
  </si>
  <si>
    <t>jesus.ponce@multiva.com.mx</t>
  </si>
  <si>
    <t>ANA MENDOZA FLORES</t>
  </si>
  <si>
    <t>DIRECTORA EJECUTIVA DE ESTRUCTURACION</t>
  </si>
  <si>
    <t>ana.mendoza@multiva.com.mx</t>
  </si>
  <si>
    <t>SERGIO LOZANO MARTINEZ</t>
  </si>
  <si>
    <t>sergio.lozano@multiva.com.mx</t>
  </si>
  <si>
    <t>KAREN ANDREA DIAZ GONZALEZ ANAYA</t>
  </si>
  <si>
    <t>karen.diaz@multiva.com.mx</t>
  </si>
  <si>
    <t>ALAN GARDUÑO DOMINGUEZ</t>
  </si>
  <si>
    <t>alan.garduno@multiva.com.mx</t>
  </si>
  <si>
    <t>MICHELLE OLVERA AÑORVE</t>
  </si>
  <si>
    <t>michelle.olvera@multiva.com.mx</t>
  </si>
  <si>
    <t>MIGUEL ANGEL MUÑOZ BALDERAS</t>
  </si>
  <si>
    <t>miguel.munoz@multiva.com.mx</t>
  </si>
  <si>
    <t>VALERIA VAZQUEZ GARZA</t>
  </si>
  <si>
    <t>SUBDIRECTORA DE ESTRATEGIA DE NEGOCIOS</t>
  </si>
  <si>
    <t>valeria.vazquez@multiva.com.mx</t>
  </si>
  <si>
    <t>HUGO ZARAGOZA RODRIGUEZ</t>
  </si>
  <si>
    <t>DIRECTOR DE ESTRUCTURACION</t>
  </si>
  <si>
    <t>hugo.zaragoza@multiva.com.mx</t>
  </si>
  <si>
    <t>LUIS ALFONSO OBREGON FRANCO</t>
  </si>
  <si>
    <t>luis.obregon@multiva.com.mx</t>
  </si>
  <si>
    <t>ANTENOR SALA MUEDANO</t>
  </si>
  <si>
    <t>DIRECTOR EJECUTIVO BANCA DE EMPRESAS</t>
  </si>
  <si>
    <t>antenor.sala@multiva.com.mx</t>
  </si>
  <si>
    <t>LUIS MANUEL GONZALEZ TORRES</t>
  </si>
  <si>
    <t>SUBDIRECTOR BANCA DE EMPRESAS</t>
  </si>
  <si>
    <t>manuel.gonzalez@multiva.com.mx</t>
  </si>
  <si>
    <t>EDGAR ALEJANDRO GOMEZ REYERO</t>
  </si>
  <si>
    <t>EJECUTIVO BANCA DE EMPRESAS JR</t>
  </si>
  <si>
    <t>edgar.gomezr@multiva.com.mx</t>
  </si>
  <si>
    <t>RENATA ROSAS ALVARADO</t>
  </si>
  <si>
    <t>renata.rosas@multiva.com.mx</t>
  </si>
  <si>
    <t>ADRIANA PAOLA GUTIERREZ GOMEZ</t>
  </si>
  <si>
    <t>adriana.gutierrez@multiva.com.mx</t>
  </si>
  <si>
    <t>LILIANA HEYDE PAZ HEREDIA</t>
  </si>
  <si>
    <t>liliana.paz@multiva.com.mx</t>
  </si>
  <si>
    <t>ALEJANDRA ROMERO CHAVERO</t>
  </si>
  <si>
    <t>GERENTE BANCA DE EMPRESAS NEGOCIO</t>
  </si>
  <si>
    <t>alejandra.romero@multiva.com.mx</t>
  </si>
  <si>
    <t>BRENDA XIMENA LARRONDO MARIN</t>
  </si>
  <si>
    <t>brenda.larrondo@multiva.com.mx</t>
  </si>
  <si>
    <t>DANIEL SANCHEZ FERNANDEZ</t>
  </si>
  <si>
    <t>DIRECTOR BANCA DE EMPRESAS</t>
  </si>
  <si>
    <t>daniel.sanchez@multiva.com.mx</t>
  </si>
  <si>
    <t>ALBERTO RODRIGUEZ HUACUZ</t>
  </si>
  <si>
    <t>alberto.rodriguez@multiva.com.mx</t>
  </si>
  <si>
    <t>ARTURO MONDRAGON CARRILLO</t>
  </si>
  <si>
    <t>arturo.mondragon@multiva.com.mx</t>
  </si>
  <si>
    <t>JESSICA PAOLA GUADARRAMA CANCHOLA</t>
  </si>
  <si>
    <t>jessica.guadarrama@multiva.com.mx</t>
  </si>
  <si>
    <t>FABIAN EDUARDO LOPEZ MONTES</t>
  </si>
  <si>
    <t>fabian.lmontes@multiva.com.mx</t>
  </si>
  <si>
    <t>EMANUEL TONATIUH CASTRO DIAZ</t>
  </si>
  <si>
    <t>emanuel.castro@multiva.com.mx</t>
  </si>
  <si>
    <t>JUAN CARLOS LAVIN MURCIO</t>
  </si>
  <si>
    <t>DIRECTOR EJECUTIVO ASUNTOS CORPORATIVOS</t>
  </si>
  <si>
    <t>DIRECCION EJECUTIVA ASUNTOS CORPORATIVOS</t>
  </si>
  <si>
    <t>juan.lavin@multiva.com.mx</t>
  </si>
  <si>
    <t>MIGUEL ANGEL GALLEGOS COSS</t>
  </si>
  <si>
    <t>GERENTE DE COMUNICACION INTERNA</t>
  </si>
  <si>
    <t>miguel.gallegos@multiva.com.mx</t>
  </si>
  <si>
    <t>SARA CATALINA RICO LARA</t>
  </si>
  <si>
    <t>ANALISTA COMUNICACION INTERNA</t>
  </si>
  <si>
    <t>sara.rico@multiva.com.mx</t>
  </si>
  <si>
    <t>RAUL NAVARRO CHAVEZ</t>
  </si>
  <si>
    <t>SUBDIRECTOR DE COMUNICACIONES INSTITUCIONALES</t>
  </si>
  <si>
    <t>raul.navarro@multiva.com.mx</t>
  </si>
  <si>
    <t>JESUS JAVIER ORTA HERNANDEZ</t>
  </si>
  <si>
    <t>SUBDIRECTOR RELACIONES PUBLICAS</t>
  </si>
  <si>
    <t>javier.orta@multiva.com.mx</t>
  </si>
  <si>
    <t>MONICA GUADALUPE GUTIERREZ DIAZ</t>
  </si>
  <si>
    <t>SUBDIRECTORA RELACIONES GUBERNAMENTALES</t>
  </si>
  <si>
    <t>monica.gutierrez@multiva.com.mx</t>
  </si>
  <si>
    <t xml:space="preserve">EMMANUEL RIVERO </t>
  </si>
  <si>
    <t>DIRECTOR REGIONAL NOROESTE</t>
  </si>
  <si>
    <t>DIRECCION REGIONAL NOROESTE</t>
  </si>
  <si>
    <t>emmanuel.rivero@multiva.com.mx</t>
  </si>
  <si>
    <t>ALMA ANGELINA JUSAINO ISLAS</t>
  </si>
  <si>
    <t>DIRECTORA REGIONAL CENTRO</t>
  </si>
  <si>
    <t>DIRECCION REGIONAL CENTRO</t>
  </si>
  <si>
    <t>alma.jusaino@multiva.com.mx</t>
  </si>
  <si>
    <t>ALEJANDRO RODRIGUEZ ARDILA</t>
  </si>
  <si>
    <t>DIRECTOR REGIONAL SURESTE</t>
  </si>
  <si>
    <t>DIRECCION REGIONAL SURESTE</t>
  </si>
  <si>
    <t>alejandro.rodriguez@multiva.com.mx</t>
  </si>
  <si>
    <t>MARIO ALBERTO CAMPUZANO AGUIRRE</t>
  </si>
  <si>
    <t>DIRECTOR REGIONAL NORESTE</t>
  </si>
  <si>
    <t>DIRECCION REGIONAL NORESTE</t>
  </si>
  <si>
    <t>mario.campuzano@multiva.com.mx</t>
  </si>
  <si>
    <t>VICTOR RIVERA CAMACHO</t>
  </si>
  <si>
    <t>DIRECTOR REGIONAL OCCIDENTE</t>
  </si>
  <si>
    <t>DIRECCION REGIONAL OCCIDENTE</t>
  </si>
  <si>
    <t>victor.rivera@multiva.com.mx</t>
  </si>
  <si>
    <t>JAIME GERARDO GARDUÑO SOTO</t>
  </si>
  <si>
    <t>DIRECTOR BANCA COMERCIAL</t>
  </si>
  <si>
    <t>jaime.garduno@multiva.com.mx</t>
  </si>
  <si>
    <t>JOSUE GONZALEZ CEDILLO</t>
  </si>
  <si>
    <t>CHOFER DIRECCION</t>
  </si>
  <si>
    <t>GERENTE AUDITORIA T.I</t>
  </si>
  <si>
    <t>MARIA TERESA HERNANDEZ HERNANDEZ</t>
  </si>
  <si>
    <t>EJECUTIVO SR FONDOS DE INVERSION</t>
  </si>
  <si>
    <t>ELIZABETH MENDOZA VELASCO</t>
  </si>
  <si>
    <t>GERENTE RIESGO DISCRECIONAL</t>
  </si>
  <si>
    <t>elizabeth.mendoza@multiva.com.mx</t>
  </si>
  <si>
    <t>MONICA GUTIERREZ VIEYRA</t>
  </si>
  <si>
    <t>GERENTE RIESGO DE CREDITO</t>
  </si>
  <si>
    <t>monica.gvieyra@multiva.com.mx</t>
  </si>
  <si>
    <t>ESPECIALISTA RIESGO DE CREDITO</t>
  </si>
  <si>
    <t>RODRIGO PADRON LUCIO</t>
  </si>
  <si>
    <t>rodrigo.padron@multiva.com.mx</t>
  </si>
  <si>
    <t>SERGIO SAUL VARGAS ROJAS</t>
  </si>
  <si>
    <t>sergio.vargas@multiva.com.mx</t>
  </si>
  <si>
    <t>GRACIELA MONSERRAT SALAZAR ALVAREZ</t>
  </si>
  <si>
    <t>SUBGERENTE MESA DE ASIGNACION</t>
  </si>
  <si>
    <t>graciela.salazar@multiva.com.mx</t>
  </si>
  <si>
    <t>JOVANI GARCIA ARIAS</t>
  </si>
  <si>
    <t>ESPECIALISTA CONTABILIDAD (CASA DE BOLSA)</t>
  </si>
  <si>
    <t>jovani.garcia@multiva.com.mx</t>
  </si>
  <si>
    <t>EDSON EDUARDO HERNANDEZ CUELLAR</t>
  </si>
  <si>
    <t>SUBGERENTE REPORTES REGULATORIOS</t>
  </si>
  <si>
    <t>edson.hcuellar@multiva.com.mx</t>
  </si>
  <si>
    <t>DGA BANCA PRIVADA</t>
  </si>
  <si>
    <t>JOSUE ARELLANO GONZALEZ</t>
  </si>
  <si>
    <t>EMILIANO SANCHEZ CASCO</t>
  </si>
  <si>
    <t>emiliano.sanchez@multiva.com.mx</t>
  </si>
  <si>
    <t>JOSE SALVADOR HURTADO ANGUIANO</t>
  </si>
  <si>
    <t>DIRECTOR AUDITOR EN PROCESOS</t>
  </si>
  <si>
    <t>jose.hurtado@multiva.com.mx</t>
  </si>
  <si>
    <t>AUXILIAR ATENCION BROKERS</t>
  </si>
  <si>
    <t>ANALISTA JR CREDITO</t>
  </si>
  <si>
    <t>ANA PAULA VIRIDIANA MENDOZA ESPARZA</t>
  </si>
  <si>
    <t>anapaula.mendoza@multiva.com.mx</t>
  </si>
  <si>
    <t>ANAHI MERLIN CARMONA</t>
  </si>
  <si>
    <t>EJECUTIVO CALL CENTER</t>
  </si>
  <si>
    <t>anahi.merlin@multiva.com.mx</t>
  </si>
  <si>
    <t>SYDNEY LOPEZ SORIANO</t>
  </si>
  <si>
    <t>ANALISTA CONTROL OPERATIVO SUCURSALES</t>
  </si>
  <si>
    <t>sydney.lopez@multiva.com.mx</t>
  </si>
  <si>
    <t>MARCO ANTONIO SEGURA PRUDENCIO</t>
  </si>
  <si>
    <t>marco.segura@multiva.com.mx</t>
  </si>
  <si>
    <t>JORGE AARON ZUÑIGA ANGELES</t>
  </si>
  <si>
    <t>ESPECIALISTA GESTION DE INFORMACION</t>
  </si>
  <si>
    <t>jorge.zuniga@multiva.com.mx</t>
  </si>
  <si>
    <t>ANGEL RODRIGO ENRIQUEZ CAMARENA</t>
  </si>
  <si>
    <t>angel.enriquez@multiva.com.mx</t>
  </si>
  <si>
    <t>MARIA LAURA PEREZ TORRES</t>
  </si>
  <si>
    <t>maria.perez@multiva.com.mx</t>
  </si>
  <si>
    <t>JERUSHA XIMENA CRUZ GONZALEZ</t>
  </si>
  <si>
    <t>ximena.cruz@multiva.com.mx</t>
  </si>
  <si>
    <t>MANUEL GONZALEZ GARCIA</t>
  </si>
  <si>
    <t>manuel.ggarcia@multiva.com.mx</t>
  </si>
  <si>
    <t>IVAN MICHELL CAMACHO VANEGAS</t>
  </si>
  <si>
    <t>ivan.camacho@multiva.com.mx</t>
  </si>
  <si>
    <t>JUAN CARLOS FERNANDEZ CORREA</t>
  </si>
  <si>
    <t>juan.fernandez@multiva.com.mx</t>
  </si>
  <si>
    <t>ALEXA GUILLERMINA CORONADO VEGA</t>
  </si>
  <si>
    <t>DIRECTOR ATRACCION DE TALENTO</t>
  </si>
  <si>
    <t>alexa.coronado@multiva.com.mx</t>
  </si>
  <si>
    <t>EJECUTIVO SR BANCA COMERCIAL</t>
  </si>
  <si>
    <t>CARLOS DAVID TREJO PEÑALOZA</t>
  </si>
  <si>
    <t>JOSE RAMON LOPEZ CASANAVE</t>
  </si>
  <si>
    <t>jose.lopez@multiva.com.mx</t>
  </si>
  <si>
    <t>ANGEL MANUEL CARBAJAL DE JESUS</t>
  </si>
  <si>
    <t>GEORGINA AURORA DAVILA VAZQUEZ</t>
  </si>
  <si>
    <t>ASISTENTE DIRECCION A</t>
  </si>
  <si>
    <t>georgina.davila@multiva.com.mx</t>
  </si>
  <si>
    <t>RAUL ROBERTO SANCHEZ BARRERA</t>
  </si>
  <si>
    <t>raul.sanchez@multiva.com.mx</t>
  </si>
  <si>
    <t>ENRIQUE ALONSO GARCIA GOMEZ</t>
  </si>
  <si>
    <t>ARQUITECTO SOLUCIONES TECNOLOGICAS</t>
  </si>
  <si>
    <t>enrique.garcia@multiva.com.mx</t>
  </si>
  <si>
    <t>EDUARDO INCLAN MUÑOZ</t>
  </si>
  <si>
    <t>GERENTE DESARROLLO DE SISTEMAS</t>
  </si>
  <si>
    <t>eduardo.inclan@multiva.com.mx</t>
  </si>
  <si>
    <t>LIDER SR DESARROLLO SISTEMAS</t>
  </si>
  <si>
    <t>MARLA ELIZABETH ALVAREZ HERNANDEZ</t>
  </si>
  <si>
    <t>LIDER SR RELACION CON NEGOCIO</t>
  </si>
  <si>
    <t>marla.alvarez@multiva.com.mx</t>
  </si>
  <si>
    <t>FERNANDO JAPHET MADRIGAL BARON</t>
  </si>
  <si>
    <t>SUBDIRECTOR CALIDAD DE SOFWARE</t>
  </si>
  <si>
    <t>fernando.madrigal@multiva.com.mx</t>
  </si>
  <si>
    <t>LIDER SR SISTEMAS DE PAGO</t>
  </si>
  <si>
    <t>JUAN CARLOS HERNANDEZ CABRERA</t>
  </si>
  <si>
    <t>LIDER SR DESARROLLO DE SISTEMAS T24</t>
  </si>
  <si>
    <t>juan.hcabrera@multiva.com.mx</t>
  </si>
  <si>
    <t>OCTAVIO REDONDA LOZANO</t>
  </si>
  <si>
    <t>ANALISTA SR TELECOMUNICACIONES</t>
  </si>
  <si>
    <t>octavio.redonda@multiva.com.mx</t>
  </si>
  <si>
    <t>EDUARDO HERNANDEZ ARRAZOLA</t>
  </si>
  <si>
    <t>OPERADOR SISTEMAS</t>
  </si>
  <si>
    <t>eduardo.hernandez@multiva.com.mx</t>
  </si>
  <si>
    <t>YANELA MICHELLE TRINIDAD CALIXTO</t>
  </si>
  <si>
    <t>yanela.trinidad@multiva.com.mx</t>
  </si>
  <si>
    <t>SERGIO ISAURO RAMIREZ BONILLA</t>
  </si>
  <si>
    <t>ARQUITECTO INTEGRACION SISTEMAS</t>
  </si>
  <si>
    <t>sergio.ramirez@multiva.com.mx</t>
  </si>
  <si>
    <t>LIDER SR SOPORTE A APLICACIONES</t>
  </si>
  <si>
    <t>GERARDO LOPEZ GRANADOS</t>
  </si>
  <si>
    <t>gerardo.lgranados@multiva.com.mx</t>
  </si>
  <si>
    <t>ALFONSO VEGA NAVARRO</t>
  </si>
  <si>
    <t>ANALISTA JR CONTROL DE ACCESOS</t>
  </si>
  <si>
    <t>alfonso.vega@multiva.com.mx</t>
  </si>
  <si>
    <t>LUIS ALBERTO GUTIERREZ ROJANO</t>
  </si>
  <si>
    <t>GERENTE ESTRUCTURACION</t>
  </si>
  <si>
    <t>luis.grojano@multiva.com.mx</t>
  </si>
  <si>
    <t>KATTYA BERENICE LEON GARDUÑO</t>
  </si>
  <si>
    <t>GERENTE BANCA DE NEGOCIOS CORPORATIVOS</t>
  </si>
  <si>
    <t>kattya.leon@multiva.com.mx</t>
  </si>
  <si>
    <t>PABLO VALLES PRUNEDA</t>
  </si>
  <si>
    <t>pablo.valles@multiva.com.mx</t>
  </si>
  <si>
    <t>JOSE LUIS VELASCO GODINEZ</t>
  </si>
  <si>
    <t>SUBDIRECTOR AGRONEGOCIO</t>
  </si>
  <si>
    <t>luis.velasco@multiva.com.mx</t>
  </si>
  <si>
    <t>CARLOS CHAN CABALLERO</t>
  </si>
  <si>
    <t>carlos.chan@multiva.com.mx</t>
  </si>
  <si>
    <t>LUIS ALBERTO RAFAEL GONZALEZ ISLAS</t>
  </si>
  <si>
    <t>luis.gonzalez@multiva.com.mx</t>
  </si>
  <si>
    <t>ANTIGÜEDAD</t>
  </si>
  <si>
    <t>FECHA DE INGRESO</t>
  </si>
  <si>
    <t>mayor a 3 meses</t>
  </si>
  <si>
    <t>menor a 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</si>
</sst>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6" x14ac:knownFonts="1">
    <font>
      <sz val="11"/>
      <name val="Calibri"/>
      <family val="2"/>
    </font>
    <font>
      <b/>
      <sz val="11"/>
      <color theme="0"/>
      <name val="Calibri"/>
      <family val="2"/>
    </font>
    <font>
      <sz val="8.5"/>
      <name val="Multiva Sans"/>
    </font>
    <font>
      <sz val="8.5"/>
      <color theme="1"/>
      <name val="Multiva Sans Light"/>
    </font>
    <font>
      <sz val="8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14" fontId="4" fillId="0" borderId="0" xfId="0" applyNumberFormat="1" applyFont="1"/>
    <xf numFmtId="0" fontId="0" fillId="3" borderId="0" xfId="0" applyFill="1"/>
    <xf numFmtId="0" fontId="0" fillId="4" borderId="0" xfId="0" applyFill="1"/>
    <xf numFmtId="0" fontId="2" fillId="3" borderId="2" xfId="0" applyFont="1" applyFill="1" applyBorder="1" applyAlignment="1">
      <alignment horizontal="left"/>
    </xf>
    <xf numFmtId="14" fontId="3" fillId="3" borderId="2" xfId="0" applyNumberFormat="1" applyFont="1" applyFill="1" applyBorder="1" applyAlignment="1">
      <alignment horizontal="left"/>
    </xf>
    <xf numFmtId="166" fontId="3" fillId="3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14" fontId="3" fillId="4" borderId="2" xfId="0" applyNumberFormat="1" applyFont="1" applyFill="1" applyBorder="1" applyAlignment="1">
      <alignment horizontal="left"/>
    </xf>
    <xf numFmtId="166" fontId="3" fillId="4" borderId="2" xfId="0" applyNumberFormat="1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CAEDFB"/>
          <bgColor rgb="FF000000"/>
        </patternFill>
      </fill>
    </dxf>
    <dxf>
      <fill>
        <patternFill patternType="solid">
          <fgColor rgb="FFF2CEE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5DFA-2A4A-4256-B1C8-C594DBBE7FA2}">
  <dimension ref="A1:J1186"/>
  <sheetViews>
    <sheetView showGridLines="0" tabSelected="1" topLeftCell="D1" workbookViewId="0">
      <pane ySplit="2" topLeftCell="A3" activePane="bottomLeft" state="frozen"/>
      <selection pane="bottomLeft" activeCell="G3" sqref="G3"/>
    </sheetView>
  </sheetViews>
  <sheetFormatPr baseColWidth="10" defaultRowHeight="14.5" x14ac:dyDescent="0.35"/>
  <cols>
    <col min="1" max="1" width="27.08984375" bestFit="1" customWidth="1"/>
    <col min="2" max="2" width="43.26953125" bestFit="1" customWidth="1"/>
    <col min="3" max="3" width="76.453125" bestFit="1" customWidth="1"/>
    <col min="4" max="4" width="44.1796875" bestFit="1" customWidth="1"/>
    <col min="5" max="5" width="36.36328125" bestFit="1" customWidth="1"/>
    <col min="6" max="6" width="19.26953125" bestFit="1" customWidth="1"/>
    <col min="7" max="7" width="14.36328125" bestFit="1" customWidth="1"/>
    <col min="8" max="8" width="4.08984375" customWidth="1"/>
    <col min="9" max="9" width="4.26953125" customWidth="1"/>
    <col min="10" max="10" width="16.26953125" bestFit="1" customWidth="1"/>
  </cols>
  <sheetData>
    <row r="1" spans="1:10" x14ac:dyDescent="0.35">
      <c r="G1" s="2">
        <f ca="1">TODAY()</f>
        <v>45994</v>
      </c>
    </row>
    <row r="2" spans="1:10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2928</v>
      </c>
      <c r="G2" s="1" t="s">
        <v>2927</v>
      </c>
    </row>
    <row r="3" spans="1:10" x14ac:dyDescent="0.35">
      <c r="A3" s="8">
        <v>1</v>
      </c>
      <c r="B3" s="8" t="s">
        <v>5</v>
      </c>
      <c r="C3" s="8" t="s">
        <v>6</v>
      </c>
      <c r="D3" s="8" t="s">
        <v>7</v>
      </c>
      <c r="E3" s="8" t="s">
        <v>8</v>
      </c>
      <c r="F3" s="9">
        <v>38869</v>
      </c>
      <c r="G3" s="10">
        <f ca="1">($G$1-F3)/365</f>
        <v>19.520547945205479</v>
      </c>
      <c r="I3" s="3"/>
      <c r="J3" s="11" t="s">
        <v>2930</v>
      </c>
    </row>
    <row r="4" spans="1:10" x14ac:dyDescent="0.35">
      <c r="A4" s="8">
        <v>32</v>
      </c>
      <c r="B4" s="8" t="s">
        <v>9</v>
      </c>
      <c r="C4" s="8" t="s">
        <v>10</v>
      </c>
      <c r="D4" s="8" t="s">
        <v>7</v>
      </c>
      <c r="E4" s="8" t="s">
        <v>11</v>
      </c>
      <c r="F4" s="9">
        <v>32419</v>
      </c>
      <c r="G4" s="10">
        <f ca="1">($G$1-F4)/365</f>
        <v>37.19178082191781</v>
      </c>
      <c r="I4" s="4"/>
      <c r="J4" s="11" t="s">
        <v>2929</v>
      </c>
    </row>
    <row r="5" spans="1:10" x14ac:dyDescent="0.35">
      <c r="A5" s="8">
        <v>163</v>
      </c>
      <c r="B5" s="8" t="s">
        <v>12</v>
      </c>
      <c r="C5" s="8" t="s">
        <v>13</v>
      </c>
      <c r="D5" s="8" t="s">
        <v>7</v>
      </c>
      <c r="E5" s="8" t="s">
        <v>14</v>
      </c>
      <c r="F5" s="9">
        <v>45033</v>
      </c>
      <c r="G5" s="10">
        <f t="shared" ref="G5:G68" ca="1" si="0">($G$1-F5)/365</f>
        <v>2.6328767123287671</v>
      </c>
    </row>
    <row r="6" spans="1:10" x14ac:dyDescent="0.35">
      <c r="A6" s="8">
        <v>318</v>
      </c>
      <c r="B6" s="8" t="s">
        <v>15</v>
      </c>
      <c r="C6" s="8" t="s">
        <v>16</v>
      </c>
      <c r="D6" s="8" t="s">
        <v>17</v>
      </c>
      <c r="E6" s="8" t="s">
        <v>18</v>
      </c>
      <c r="F6" s="9">
        <v>39204</v>
      </c>
      <c r="G6" s="10">
        <f t="shared" ca="1" si="0"/>
        <v>18.602739726027398</v>
      </c>
    </row>
    <row r="7" spans="1:10" x14ac:dyDescent="0.35">
      <c r="A7" s="8">
        <v>501579</v>
      </c>
      <c r="B7" s="8" t="s">
        <v>19</v>
      </c>
      <c r="C7" s="8" t="s">
        <v>20</v>
      </c>
      <c r="D7" s="8" t="s">
        <v>17</v>
      </c>
      <c r="E7" s="8" t="s">
        <v>21</v>
      </c>
      <c r="F7" s="9">
        <v>45033</v>
      </c>
      <c r="G7" s="10">
        <f t="shared" ca="1" si="0"/>
        <v>2.6328767123287671</v>
      </c>
    </row>
    <row r="8" spans="1:10" x14ac:dyDescent="0.35">
      <c r="A8" s="8">
        <v>10</v>
      </c>
      <c r="B8" s="8" t="s">
        <v>22</v>
      </c>
      <c r="C8" s="8" t="s">
        <v>23</v>
      </c>
      <c r="D8" s="8" t="s">
        <v>24</v>
      </c>
      <c r="E8" s="8" t="s">
        <v>25</v>
      </c>
      <c r="F8" s="9">
        <v>31243</v>
      </c>
      <c r="G8" s="10">
        <f t="shared" ca="1" si="0"/>
        <v>40.413698630136984</v>
      </c>
    </row>
    <row r="9" spans="1:10" x14ac:dyDescent="0.35">
      <c r="A9" s="8">
        <v>77</v>
      </c>
      <c r="B9" s="8" t="s">
        <v>26</v>
      </c>
      <c r="C9" s="8" t="s">
        <v>27</v>
      </c>
      <c r="D9" s="8" t="s">
        <v>24</v>
      </c>
      <c r="E9" s="8" t="s">
        <v>28</v>
      </c>
      <c r="F9" s="9">
        <v>35961</v>
      </c>
      <c r="G9" s="10">
        <f t="shared" ca="1" si="0"/>
        <v>27.487671232876714</v>
      </c>
    </row>
    <row r="10" spans="1:10" x14ac:dyDescent="0.35">
      <c r="A10" s="8">
        <v>223</v>
      </c>
      <c r="B10" s="8" t="s">
        <v>29</v>
      </c>
      <c r="C10" s="8" t="s">
        <v>30</v>
      </c>
      <c r="D10" s="8" t="s">
        <v>24</v>
      </c>
      <c r="E10" s="8" t="s">
        <v>31</v>
      </c>
      <c r="F10" s="9">
        <v>39069</v>
      </c>
      <c r="G10" s="10">
        <f t="shared" ca="1" si="0"/>
        <v>18.972602739726028</v>
      </c>
    </row>
    <row r="11" spans="1:10" x14ac:dyDescent="0.35">
      <c r="A11" s="8">
        <v>502047</v>
      </c>
      <c r="B11" s="8" t="s">
        <v>32</v>
      </c>
      <c r="C11" s="8" t="s">
        <v>33</v>
      </c>
      <c r="D11" s="8" t="s">
        <v>24</v>
      </c>
      <c r="E11" s="8" t="s">
        <v>34</v>
      </c>
      <c r="F11" s="9">
        <v>45615</v>
      </c>
      <c r="G11" s="10">
        <f t="shared" ca="1" si="0"/>
        <v>1.0383561643835617</v>
      </c>
    </row>
    <row r="12" spans="1:10" x14ac:dyDescent="0.35">
      <c r="A12" s="8">
        <v>101727</v>
      </c>
      <c r="B12" s="8" t="s">
        <v>35</v>
      </c>
      <c r="C12" s="8" t="s">
        <v>36</v>
      </c>
      <c r="D12" s="8" t="s">
        <v>24</v>
      </c>
      <c r="E12" s="8" t="s">
        <v>37</v>
      </c>
      <c r="F12" s="9">
        <v>42677</v>
      </c>
      <c r="G12" s="10">
        <f t="shared" ca="1" si="0"/>
        <v>9.087671232876712</v>
      </c>
    </row>
    <row r="13" spans="1:10" x14ac:dyDescent="0.35">
      <c r="A13" s="8">
        <v>500907</v>
      </c>
      <c r="B13" s="8" t="s">
        <v>38</v>
      </c>
      <c r="C13" s="8" t="s">
        <v>39</v>
      </c>
      <c r="D13" s="8" t="s">
        <v>24</v>
      </c>
      <c r="E13" s="8" t="s">
        <v>40</v>
      </c>
      <c r="F13" s="9">
        <v>43892</v>
      </c>
      <c r="G13" s="10">
        <f t="shared" ca="1" si="0"/>
        <v>5.7589041095890412</v>
      </c>
    </row>
    <row r="14" spans="1:10" x14ac:dyDescent="0.35">
      <c r="A14" s="8">
        <v>501737</v>
      </c>
      <c r="B14" s="8" t="s">
        <v>41</v>
      </c>
      <c r="C14" s="8" t="s">
        <v>42</v>
      </c>
      <c r="D14" s="8" t="s">
        <v>24</v>
      </c>
      <c r="E14" s="8" t="s">
        <v>43</v>
      </c>
      <c r="F14" s="9">
        <v>45264</v>
      </c>
      <c r="G14" s="10">
        <f t="shared" ca="1" si="0"/>
        <v>2</v>
      </c>
    </row>
    <row r="15" spans="1:10" x14ac:dyDescent="0.35">
      <c r="A15" s="8">
        <v>502283</v>
      </c>
      <c r="B15" s="8" t="s">
        <v>44</v>
      </c>
      <c r="C15" s="8" t="s">
        <v>42</v>
      </c>
      <c r="D15" s="8" t="s">
        <v>24</v>
      </c>
      <c r="E15" s="8" t="s">
        <v>45</v>
      </c>
      <c r="F15" s="9">
        <v>45859</v>
      </c>
      <c r="G15" s="10">
        <f t="shared" ca="1" si="0"/>
        <v>0.36986301369863012</v>
      </c>
    </row>
    <row r="16" spans="1:10" x14ac:dyDescent="0.35">
      <c r="A16" s="8">
        <v>101261</v>
      </c>
      <c r="B16" s="8" t="s">
        <v>46</v>
      </c>
      <c r="C16" s="8" t="s">
        <v>47</v>
      </c>
      <c r="D16" s="8" t="s">
        <v>24</v>
      </c>
      <c r="E16" s="8" t="s">
        <v>48</v>
      </c>
      <c r="F16" s="9">
        <v>42023</v>
      </c>
      <c r="G16" s="10">
        <f t="shared" ca="1" si="0"/>
        <v>10.87945205479452</v>
      </c>
    </row>
    <row r="17" spans="1:7" x14ac:dyDescent="0.35">
      <c r="A17" s="8">
        <v>502307</v>
      </c>
      <c r="B17" s="8" t="s">
        <v>49</v>
      </c>
      <c r="C17" s="8" t="s">
        <v>50</v>
      </c>
      <c r="D17" s="8" t="s">
        <v>24</v>
      </c>
      <c r="E17" s="8" t="s">
        <v>51</v>
      </c>
      <c r="F17" s="9">
        <v>45873</v>
      </c>
      <c r="G17" s="10">
        <f t="shared" ca="1" si="0"/>
        <v>0.33150684931506852</v>
      </c>
    </row>
    <row r="18" spans="1:7" x14ac:dyDescent="0.35">
      <c r="A18" s="8">
        <v>101662</v>
      </c>
      <c r="B18" s="8" t="s">
        <v>52</v>
      </c>
      <c r="C18" s="8" t="s">
        <v>50</v>
      </c>
      <c r="D18" s="8" t="s">
        <v>24</v>
      </c>
      <c r="E18" s="8" t="s">
        <v>53</v>
      </c>
      <c r="F18" s="9">
        <v>42583</v>
      </c>
      <c r="G18" s="10">
        <f t="shared" ca="1" si="0"/>
        <v>9.3452054794520549</v>
      </c>
    </row>
    <row r="19" spans="1:7" x14ac:dyDescent="0.35">
      <c r="A19" s="8">
        <v>502308</v>
      </c>
      <c r="B19" s="8" t="s">
        <v>54</v>
      </c>
      <c r="C19" s="8" t="s">
        <v>50</v>
      </c>
      <c r="D19" s="8" t="s">
        <v>24</v>
      </c>
      <c r="E19" s="8" t="s">
        <v>55</v>
      </c>
      <c r="F19" s="9">
        <v>45873</v>
      </c>
      <c r="G19" s="10">
        <f t="shared" ca="1" si="0"/>
        <v>0.33150684931506852</v>
      </c>
    </row>
    <row r="20" spans="1:7" x14ac:dyDescent="0.35">
      <c r="A20" s="8">
        <v>502225</v>
      </c>
      <c r="B20" s="8" t="s">
        <v>56</v>
      </c>
      <c r="C20" s="8" t="s">
        <v>50</v>
      </c>
      <c r="D20" s="8" t="s">
        <v>24</v>
      </c>
      <c r="E20" s="8" t="s">
        <v>57</v>
      </c>
      <c r="F20" s="9">
        <v>45810</v>
      </c>
      <c r="G20" s="10">
        <f t="shared" ca="1" si="0"/>
        <v>0.50410958904109593</v>
      </c>
    </row>
    <row r="21" spans="1:7" x14ac:dyDescent="0.35">
      <c r="A21" s="8">
        <v>500438</v>
      </c>
      <c r="B21" s="8" t="s">
        <v>58</v>
      </c>
      <c r="C21" s="8" t="s">
        <v>50</v>
      </c>
      <c r="D21" s="8" t="s">
        <v>24</v>
      </c>
      <c r="E21" s="8" t="s">
        <v>59</v>
      </c>
      <c r="F21" s="9">
        <v>43236</v>
      </c>
      <c r="G21" s="10">
        <f t="shared" ca="1" si="0"/>
        <v>7.5561643835616437</v>
      </c>
    </row>
    <row r="22" spans="1:7" x14ac:dyDescent="0.35">
      <c r="A22" s="8">
        <v>502223</v>
      </c>
      <c r="B22" s="8" t="s">
        <v>60</v>
      </c>
      <c r="C22" s="8" t="s">
        <v>50</v>
      </c>
      <c r="D22" s="8" t="s">
        <v>24</v>
      </c>
      <c r="E22" s="8" t="s">
        <v>61</v>
      </c>
      <c r="F22" s="9">
        <v>45810</v>
      </c>
      <c r="G22" s="10">
        <f t="shared" ca="1" si="0"/>
        <v>0.50410958904109593</v>
      </c>
    </row>
    <row r="23" spans="1:7" x14ac:dyDescent="0.35">
      <c r="A23" s="8">
        <v>502224</v>
      </c>
      <c r="B23" s="8" t="s">
        <v>62</v>
      </c>
      <c r="C23" s="8" t="s">
        <v>50</v>
      </c>
      <c r="D23" s="8" t="s">
        <v>24</v>
      </c>
      <c r="E23" s="8" t="s">
        <v>63</v>
      </c>
      <c r="F23" s="9">
        <v>45810</v>
      </c>
      <c r="G23" s="10">
        <f t="shared" ca="1" si="0"/>
        <v>0.50410958904109593</v>
      </c>
    </row>
    <row r="24" spans="1:7" x14ac:dyDescent="0.35">
      <c r="A24" s="8">
        <v>500326</v>
      </c>
      <c r="B24" s="8" t="s">
        <v>64</v>
      </c>
      <c r="C24" s="8" t="s">
        <v>65</v>
      </c>
      <c r="D24" s="8" t="s">
        <v>24</v>
      </c>
      <c r="E24" s="8" t="s">
        <v>66</v>
      </c>
      <c r="F24" s="9">
        <v>43073</v>
      </c>
      <c r="G24" s="10">
        <f t="shared" ca="1" si="0"/>
        <v>8.0027397260273965</v>
      </c>
    </row>
    <row r="25" spans="1:7" x14ac:dyDescent="0.35">
      <c r="A25" s="8">
        <v>502059</v>
      </c>
      <c r="B25" s="8" t="s">
        <v>67</v>
      </c>
      <c r="C25" s="8" t="s">
        <v>65</v>
      </c>
      <c r="D25" s="8" t="s">
        <v>24</v>
      </c>
      <c r="E25" s="8" t="s">
        <v>68</v>
      </c>
      <c r="F25" s="9">
        <v>45628</v>
      </c>
      <c r="G25" s="10">
        <f t="shared" ca="1" si="0"/>
        <v>1.0027397260273974</v>
      </c>
    </row>
    <row r="26" spans="1:7" x14ac:dyDescent="0.35">
      <c r="A26" s="8">
        <v>502274</v>
      </c>
      <c r="B26" s="8" t="s">
        <v>69</v>
      </c>
      <c r="C26" s="8" t="s">
        <v>50</v>
      </c>
      <c r="D26" s="8" t="s">
        <v>24</v>
      </c>
      <c r="E26" s="8" t="s">
        <v>70</v>
      </c>
      <c r="F26" s="9">
        <v>45845</v>
      </c>
      <c r="G26" s="10">
        <f t="shared" ca="1" si="0"/>
        <v>0.40821917808219177</v>
      </c>
    </row>
    <row r="27" spans="1:7" x14ac:dyDescent="0.35">
      <c r="A27" s="8">
        <v>53</v>
      </c>
      <c r="B27" s="8" t="s">
        <v>71</v>
      </c>
      <c r="C27" s="8" t="s">
        <v>72</v>
      </c>
      <c r="D27" s="8" t="s">
        <v>73</v>
      </c>
      <c r="E27" s="8" t="s">
        <v>74</v>
      </c>
      <c r="F27" s="9">
        <v>34060</v>
      </c>
      <c r="G27" s="10">
        <f t="shared" ca="1" si="0"/>
        <v>32.695890410958903</v>
      </c>
    </row>
    <row r="28" spans="1:7" x14ac:dyDescent="0.35">
      <c r="A28" s="8">
        <v>28</v>
      </c>
      <c r="B28" s="8" t="s">
        <v>75</v>
      </c>
      <c r="C28" s="8" t="s">
        <v>76</v>
      </c>
      <c r="D28" s="8" t="s">
        <v>73</v>
      </c>
      <c r="E28" s="8" t="s">
        <v>77</v>
      </c>
      <c r="F28" s="9">
        <v>32328</v>
      </c>
      <c r="G28" s="10">
        <f t="shared" ca="1" si="0"/>
        <v>37.441095890410956</v>
      </c>
    </row>
    <row r="29" spans="1:7" x14ac:dyDescent="0.35">
      <c r="A29" s="8">
        <v>55</v>
      </c>
      <c r="B29" s="8" t="s">
        <v>78</v>
      </c>
      <c r="C29" s="8" t="s">
        <v>79</v>
      </c>
      <c r="D29" s="8" t="s">
        <v>73</v>
      </c>
      <c r="E29" s="8" t="s">
        <v>80</v>
      </c>
      <c r="F29" s="9">
        <v>34121</v>
      </c>
      <c r="G29" s="10">
        <f t="shared" ca="1" si="0"/>
        <v>32.528767123287672</v>
      </c>
    </row>
    <row r="30" spans="1:7" x14ac:dyDescent="0.35">
      <c r="A30" s="5">
        <v>502501</v>
      </c>
      <c r="B30" s="5" t="s">
        <v>81</v>
      </c>
      <c r="C30" s="5" t="s">
        <v>79</v>
      </c>
      <c r="D30" s="5" t="s">
        <v>73</v>
      </c>
      <c r="E30" s="5" t="s">
        <v>82</v>
      </c>
      <c r="F30" s="6">
        <v>45930</v>
      </c>
      <c r="G30" s="7">
        <f t="shared" ca="1" si="0"/>
        <v>0.17534246575342466</v>
      </c>
    </row>
    <row r="31" spans="1:7" x14ac:dyDescent="0.35">
      <c r="A31" s="8">
        <v>502006</v>
      </c>
      <c r="B31" s="8" t="s">
        <v>83</v>
      </c>
      <c r="C31" s="8" t="s">
        <v>84</v>
      </c>
      <c r="D31" s="8" t="s">
        <v>85</v>
      </c>
      <c r="E31" s="8" t="s">
        <v>86</v>
      </c>
      <c r="F31" s="9">
        <v>45580</v>
      </c>
      <c r="G31" s="10">
        <f t="shared" ca="1" si="0"/>
        <v>1.1342465753424658</v>
      </c>
    </row>
    <row r="32" spans="1:7" x14ac:dyDescent="0.35">
      <c r="A32" s="8">
        <v>100552</v>
      </c>
      <c r="B32" s="8" t="s">
        <v>87</v>
      </c>
      <c r="C32" s="8" t="s">
        <v>88</v>
      </c>
      <c r="D32" s="8" t="s">
        <v>85</v>
      </c>
      <c r="E32" s="8" t="s">
        <v>89</v>
      </c>
      <c r="F32" s="9">
        <v>40763</v>
      </c>
      <c r="G32" s="10">
        <f t="shared" ca="1" si="0"/>
        <v>14.331506849315069</v>
      </c>
    </row>
    <row r="33" spans="1:7" x14ac:dyDescent="0.35">
      <c r="A33" s="8">
        <v>500335</v>
      </c>
      <c r="B33" s="8" t="s">
        <v>90</v>
      </c>
      <c r="C33" s="8" t="s">
        <v>91</v>
      </c>
      <c r="D33" s="8" t="s">
        <v>85</v>
      </c>
      <c r="E33" s="8" t="s">
        <v>92</v>
      </c>
      <c r="F33" s="9">
        <v>43087</v>
      </c>
      <c r="G33" s="10">
        <f t="shared" ca="1" si="0"/>
        <v>7.9643835616438352</v>
      </c>
    </row>
    <row r="34" spans="1:7" x14ac:dyDescent="0.35">
      <c r="A34" s="8">
        <v>100472</v>
      </c>
      <c r="B34" s="8" t="s">
        <v>93</v>
      </c>
      <c r="C34" s="8" t="s">
        <v>94</v>
      </c>
      <c r="D34" s="8" t="s">
        <v>85</v>
      </c>
      <c r="E34" s="8" t="s">
        <v>95</v>
      </c>
      <c r="F34" s="9">
        <v>40618</v>
      </c>
      <c r="G34" s="10">
        <f t="shared" ca="1" si="0"/>
        <v>14.728767123287671</v>
      </c>
    </row>
    <row r="35" spans="1:7" x14ac:dyDescent="0.35">
      <c r="A35" s="8">
        <v>501567</v>
      </c>
      <c r="B35" s="8" t="s">
        <v>96</v>
      </c>
      <c r="C35" s="8" t="s">
        <v>94</v>
      </c>
      <c r="D35" s="8" t="s">
        <v>85</v>
      </c>
      <c r="E35" s="8" t="s">
        <v>97</v>
      </c>
      <c r="F35" s="9">
        <v>45001</v>
      </c>
      <c r="G35" s="10">
        <f t="shared" ca="1" si="0"/>
        <v>2.7205479452054795</v>
      </c>
    </row>
    <row r="36" spans="1:7" x14ac:dyDescent="0.35">
      <c r="A36" s="8">
        <v>500941</v>
      </c>
      <c r="B36" s="8" t="s">
        <v>98</v>
      </c>
      <c r="C36" s="8" t="s">
        <v>99</v>
      </c>
      <c r="D36" s="8" t="s">
        <v>85</v>
      </c>
      <c r="E36" s="8" t="s">
        <v>100</v>
      </c>
      <c r="F36" s="9">
        <v>44028</v>
      </c>
      <c r="G36" s="10">
        <f t="shared" ca="1" si="0"/>
        <v>5.3863013698630136</v>
      </c>
    </row>
    <row r="37" spans="1:7" x14ac:dyDescent="0.35">
      <c r="A37" s="5">
        <v>502531</v>
      </c>
      <c r="B37" s="5" t="s">
        <v>101</v>
      </c>
      <c r="C37" s="5" t="s">
        <v>102</v>
      </c>
      <c r="D37" s="5" t="s">
        <v>85</v>
      </c>
      <c r="E37" s="5" t="s">
        <v>103</v>
      </c>
      <c r="F37" s="6">
        <v>45950</v>
      </c>
      <c r="G37" s="7">
        <f t="shared" ca="1" si="0"/>
        <v>0.12054794520547946</v>
      </c>
    </row>
    <row r="38" spans="1:7" x14ac:dyDescent="0.35">
      <c r="A38" s="8">
        <v>1900</v>
      </c>
      <c r="B38" s="8" t="s">
        <v>104</v>
      </c>
      <c r="C38" s="8" t="s">
        <v>105</v>
      </c>
      <c r="D38" s="8" t="s">
        <v>85</v>
      </c>
      <c r="E38" s="8" t="s">
        <v>106</v>
      </c>
      <c r="F38" s="9">
        <v>42982</v>
      </c>
      <c r="G38" s="10">
        <f t="shared" ca="1" si="0"/>
        <v>8.2520547945205482</v>
      </c>
    </row>
    <row r="39" spans="1:7" x14ac:dyDescent="0.35">
      <c r="A39" s="8">
        <v>501492</v>
      </c>
      <c r="B39" s="8" t="s">
        <v>107</v>
      </c>
      <c r="C39" s="8" t="s">
        <v>91</v>
      </c>
      <c r="D39" s="8" t="s">
        <v>85</v>
      </c>
      <c r="E39" s="8" t="s">
        <v>108</v>
      </c>
      <c r="F39" s="9">
        <v>44868</v>
      </c>
      <c r="G39" s="10">
        <f t="shared" ca="1" si="0"/>
        <v>3.0849315068493151</v>
      </c>
    </row>
    <row r="40" spans="1:7" x14ac:dyDescent="0.35">
      <c r="A40" s="8">
        <v>500079</v>
      </c>
      <c r="B40" s="8" t="s">
        <v>109</v>
      </c>
      <c r="C40" s="8" t="s">
        <v>91</v>
      </c>
      <c r="D40" s="8" t="s">
        <v>85</v>
      </c>
      <c r="E40" s="8" t="s">
        <v>110</v>
      </c>
      <c r="F40" s="9">
        <v>40498</v>
      </c>
      <c r="G40" s="10">
        <f t="shared" ca="1" si="0"/>
        <v>15.057534246575342</v>
      </c>
    </row>
    <row r="41" spans="1:7" x14ac:dyDescent="0.35">
      <c r="A41" s="8">
        <v>214</v>
      </c>
      <c r="B41" s="8" t="s">
        <v>111</v>
      </c>
      <c r="C41" s="8" t="s">
        <v>91</v>
      </c>
      <c r="D41" s="8" t="s">
        <v>85</v>
      </c>
      <c r="E41" s="8" t="s">
        <v>112</v>
      </c>
      <c r="F41" s="9">
        <v>39036</v>
      </c>
      <c r="G41" s="10">
        <f t="shared" ca="1" si="0"/>
        <v>19.063013698630137</v>
      </c>
    </row>
    <row r="42" spans="1:7" x14ac:dyDescent="0.35">
      <c r="A42" s="8">
        <v>100532</v>
      </c>
      <c r="B42" s="8" t="s">
        <v>113</v>
      </c>
      <c r="C42" s="8" t="s">
        <v>94</v>
      </c>
      <c r="D42" s="8" t="s">
        <v>85</v>
      </c>
      <c r="E42" s="8" t="s">
        <v>114</v>
      </c>
      <c r="F42" s="9">
        <v>40742</v>
      </c>
      <c r="G42" s="10">
        <f t="shared" ca="1" si="0"/>
        <v>14.389041095890411</v>
      </c>
    </row>
    <row r="43" spans="1:7" x14ac:dyDescent="0.35">
      <c r="A43" s="8">
        <v>459</v>
      </c>
      <c r="B43" s="8" t="s">
        <v>115</v>
      </c>
      <c r="C43" s="8" t="s">
        <v>116</v>
      </c>
      <c r="D43" s="8" t="s">
        <v>85</v>
      </c>
      <c r="E43" s="8" t="s">
        <v>117</v>
      </c>
      <c r="F43" s="9">
        <v>39398</v>
      </c>
      <c r="G43" s="10">
        <f t="shared" ca="1" si="0"/>
        <v>18.07123287671233</v>
      </c>
    </row>
    <row r="44" spans="1:7" x14ac:dyDescent="0.35">
      <c r="A44" s="8">
        <v>502387</v>
      </c>
      <c r="B44" s="8" t="s">
        <v>118</v>
      </c>
      <c r="C44" s="8" t="s">
        <v>119</v>
      </c>
      <c r="D44" s="8" t="s">
        <v>85</v>
      </c>
      <c r="E44" s="8" t="s">
        <v>120</v>
      </c>
      <c r="F44" s="9">
        <v>45901</v>
      </c>
      <c r="G44" s="10">
        <f t="shared" ca="1" si="0"/>
        <v>0.25479452054794521</v>
      </c>
    </row>
    <row r="45" spans="1:7" x14ac:dyDescent="0.35">
      <c r="A45" s="8">
        <v>501557</v>
      </c>
      <c r="B45" s="8" t="s">
        <v>121</v>
      </c>
      <c r="C45" s="8" t="s">
        <v>94</v>
      </c>
      <c r="D45" s="8" t="s">
        <v>85</v>
      </c>
      <c r="E45" s="8" t="s">
        <v>122</v>
      </c>
      <c r="F45" s="9">
        <v>44986</v>
      </c>
      <c r="G45" s="10">
        <f t="shared" ca="1" si="0"/>
        <v>2.7616438356164386</v>
      </c>
    </row>
    <row r="46" spans="1:7" x14ac:dyDescent="0.35">
      <c r="A46" s="5">
        <v>502486</v>
      </c>
      <c r="B46" s="5" t="s">
        <v>123</v>
      </c>
      <c r="C46" s="5" t="s">
        <v>91</v>
      </c>
      <c r="D46" s="5" t="s">
        <v>85</v>
      </c>
      <c r="E46" s="5" t="s">
        <v>124</v>
      </c>
      <c r="F46" s="6">
        <v>45922</v>
      </c>
      <c r="G46" s="7">
        <f t="shared" ca="1" si="0"/>
        <v>0.19726027397260273</v>
      </c>
    </row>
    <row r="47" spans="1:7" x14ac:dyDescent="0.35">
      <c r="A47" s="8">
        <v>101566</v>
      </c>
      <c r="B47" s="8" t="s">
        <v>125</v>
      </c>
      <c r="C47" s="8" t="s">
        <v>91</v>
      </c>
      <c r="D47" s="8" t="s">
        <v>85</v>
      </c>
      <c r="E47" s="8" t="s">
        <v>126</v>
      </c>
      <c r="F47" s="9">
        <v>45428</v>
      </c>
      <c r="G47" s="10">
        <f t="shared" ca="1" si="0"/>
        <v>1.5506849315068494</v>
      </c>
    </row>
    <row r="48" spans="1:7" x14ac:dyDescent="0.35">
      <c r="A48" s="8">
        <v>500572</v>
      </c>
      <c r="B48" s="8" t="s">
        <v>127</v>
      </c>
      <c r="C48" s="8" t="s">
        <v>91</v>
      </c>
      <c r="D48" s="8" t="s">
        <v>85</v>
      </c>
      <c r="E48" s="8" t="s">
        <v>128</v>
      </c>
      <c r="F48" s="9">
        <v>45831</v>
      </c>
      <c r="G48" s="10">
        <f t="shared" ca="1" si="0"/>
        <v>0.44657534246575342</v>
      </c>
    </row>
    <row r="49" spans="1:7" x14ac:dyDescent="0.35">
      <c r="A49" s="8">
        <v>502279</v>
      </c>
      <c r="B49" s="8" t="s">
        <v>129</v>
      </c>
      <c r="C49" s="8" t="s">
        <v>130</v>
      </c>
      <c r="D49" s="8" t="s">
        <v>85</v>
      </c>
      <c r="E49" s="8" t="s">
        <v>131</v>
      </c>
      <c r="F49" s="9">
        <v>45859</v>
      </c>
      <c r="G49" s="10">
        <f t="shared" ca="1" si="0"/>
        <v>0.36986301369863012</v>
      </c>
    </row>
    <row r="50" spans="1:7" x14ac:dyDescent="0.35">
      <c r="A50" s="8">
        <v>502278</v>
      </c>
      <c r="B50" s="8" t="s">
        <v>132</v>
      </c>
      <c r="C50" s="8" t="s">
        <v>133</v>
      </c>
      <c r="D50" s="8" t="s">
        <v>85</v>
      </c>
      <c r="E50" s="8" t="s">
        <v>134</v>
      </c>
      <c r="F50" s="9">
        <v>45859</v>
      </c>
      <c r="G50" s="10">
        <f t="shared" ca="1" si="0"/>
        <v>0.36986301369863012</v>
      </c>
    </row>
    <row r="51" spans="1:7" x14ac:dyDescent="0.35">
      <c r="A51" s="8">
        <v>100217</v>
      </c>
      <c r="B51" s="8" t="s">
        <v>135</v>
      </c>
      <c r="C51" s="8" t="s">
        <v>94</v>
      </c>
      <c r="D51" s="8" t="s">
        <v>85</v>
      </c>
      <c r="E51" s="8" t="s">
        <v>136</v>
      </c>
      <c r="F51" s="9">
        <v>40134</v>
      </c>
      <c r="G51" s="10">
        <f t="shared" ca="1" si="0"/>
        <v>16.054794520547944</v>
      </c>
    </row>
    <row r="52" spans="1:7" x14ac:dyDescent="0.35">
      <c r="A52" s="8">
        <v>826</v>
      </c>
      <c r="B52" s="8" t="s">
        <v>137</v>
      </c>
      <c r="C52" s="8" t="s">
        <v>138</v>
      </c>
      <c r="D52" s="8" t="s">
        <v>139</v>
      </c>
      <c r="E52" s="8" t="s">
        <v>140</v>
      </c>
      <c r="F52" s="9">
        <v>39584</v>
      </c>
      <c r="G52" s="10">
        <f t="shared" ca="1" si="0"/>
        <v>17.561643835616437</v>
      </c>
    </row>
    <row r="53" spans="1:7" x14ac:dyDescent="0.35">
      <c r="A53" s="8">
        <v>501259</v>
      </c>
      <c r="B53" s="8" t="s">
        <v>141</v>
      </c>
      <c r="C53" s="8" t="s">
        <v>142</v>
      </c>
      <c r="D53" s="8" t="s">
        <v>139</v>
      </c>
      <c r="E53" s="8" t="s">
        <v>143</v>
      </c>
      <c r="F53" s="9">
        <v>44473</v>
      </c>
      <c r="G53" s="10">
        <f t="shared" ca="1" si="0"/>
        <v>4.1671232876712327</v>
      </c>
    </row>
    <row r="54" spans="1:7" x14ac:dyDescent="0.35">
      <c r="A54" s="8">
        <v>500698</v>
      </c>
      <c r="B54" s="8" t="s">
        <v>144</v>
      </c>
      <c r="C54" s="8" t="s">
        <v>145</v>
      </c>
      <c r="D54" s="8" t="s">
        <v>139</v>
      </c>
      <c r="E54" s="8" t="s">
        <v>146</v>
      </c>
      <c r="F54" s="9">
        <v>43601</v>
      </c>
      <c r="G54" s="10">
        <f t="shared" ca="1" si="0"/>
        <v>6.5561643835616437</v>
      </c>
    </row>
    <row r="55" spans="1:7" x14ac:dyDescent="0.35">
      <c r="A55" s="8">
        <v>151</v>
      </c>
      <c r="B55" s="8" t="s">
        <v>147</v>
      </c>
      <c r="C55" s="8" t="s">
        <v>148</v>
      </c>
      <c r="D55" s="8" t="s">
        <v>139</v>
      </c>
      <c r="E55" s="8" t="s">
        <v>149</v>
      </c>
      <c r="F55" s="9">
        <v>38412</v>
      </c>
      <c r="G55" s="10">
        <f t="shared" ca="1" si="0"/>
        <v>20.772602739726029</v>
      </c>
    </row>
    <row r="56" spans="1:7" x14ac:dyDescent="0.35">
      <c r="A56" s="8">
        <v>500474</v>
      </c>
      <c r="B56" s="8" t="s">
        <v>150</v>
      </c>
      <c r="C56" s="8" t="s">
        <v>151</v>
      </c>
      <c r="D56" s="8" t="s">
        <v>139</v>
      </c>
      <c r="E56" s="8" t="s">
        <v>152</v>
      </c>
      <c r="F56" s="9">
        <v>43283</v>
      </c>
      <c r="G56" s="10">
        <f t="shared" ca="1" si="0"/>
        <v>7.4273972602739722</v>
      </c>
    </row>
    <row r="57" spans="1:7" x14ac:dyDescent="0.35">
      <c r="A57" s="5">
        <v>502496</v>
      </c>
      <c r="B57" s="5" t="s">
        <v>153</v>
      </c>
      <c r="C57" s="5" t="s">
        <v>154</v>
      </c>
      <c r="D57" s="5" t="s">
        <v>139</v>
      </c>
      <c r="E57" s="5" t="s">
        <v>155</v>
      </c>
      <c r="F57" s="6">
        <v>45922</v>
      </c>
      <c r="G57" s="7">
        <f t="shared" ca="1" si="0"/>
        <v>0.19726027397260273</v>
      </c>
    </row>
    <row r="58" spans="1:7" x14ac:dyDescent="0.35">
      <c r="A58" s="8">
        <v>501897</v>
      </c>
      <c r="B58" s="8" t="s">
        <v>156</v>
      </c>
      <c r="C58" s="8" t="s">
        <v>154</v>
      </c>
      <c r="D58" s="8" t="s">
        <v>139</v>
      </c>
      <c r="E58" s="8" t="s">
        <v>157</v>
      </c>
      <c r="F58" s="9">
        <v>45734</v>
      </c>
      <c r="G58" s="10">
        <f t="shared" ca="1" si="0"/>
        <v>0.71232876712328763</v>
      </c>
    </row>
    <row r="59" spans="1:7" x14ac:dyDescent="0.35">
      <c r="A59" s="8">
        <v>101707</v>
      </c>
      <c r="B59" s="8" t="s">
        <v>158</v>
      </c>
      <c r="C59" s="8" t="s">
        <v>154</v>
      </c>
      <c r="D59" s="8" t="s">
        <v>139</v>
      </c>
      <c r="E59" s="8" t="s">
        <v>159</v>
      </c>
      <c r="F59" s="9">
        <v>42632</v>
      </c>
      <c r="G59" s="10">
        <f t="shared" ca="1" si="0"/>
        <v>9.2109589041095887</v>
      </c>
    </row>
    <row r="60" spans="1:7" x14ac:dyDescent="0.35">
      <c r="A60" s="8">
        <v>500812</v>
      </c>
      <c r="B60" s="8" t="s">
        <v>160</v>
      </c>
      <c r="C60" s="8" t="s">
        <v>154</v>
      </c>
      <c r="D60" s="8" t="s">
        <v>139</v>
      </c>
      <c r="E60" s="8" t="s">
        <v>161</v>
      </c>
      <c r="F60" s="9">
        <v>43754</v>
      </c>
      <c r="G60" s="10">
        <f t="shared" ca="1" si="0"/>
        <v>6.1369863013698627</v>
      </c>
    </row>
    <row r="61" spans="1:7" x14ac:dyDescent="0.35">
      <c r="A61" s="8">
        <v>502248</v>
      </c>
      <c r="B61" s="8" t="s">
        <v>162</v>
      </c>
      <c r="C61" s="8" t="s">
        <v>154</v>
      </c>
      <c r="D61" s="8" t="s">
        <v>139</v>
      </c>
      <c r="E61" s="8" t="s">
        <v>163</v>
      </c>
      <c r="F61" s="9">
        <v>45824</v>
      </c>
      <c r="G61" s="10">
        <f t="shared" ca="1" si="0"/>
        <v>0.46575342465753422</v>
      </c>
    </row>
    <row r="62" spans="1:7" x14ac:dyDescent="0.35">
      <c r="A62" s="8">
        <v>502192</v>
      </c>
      <c r="B62" s="8" t="s">
        <v>164</v>
      </c>
      <c r="C62" s="8" t="s">
        <v>148</v>
      </c>
      <c r="D62" s="8" t="s">
        <v>139</v>
      </c>
      <c r="E62" s="8" t="s">
        <v>165</v>
      </c>
      <c r="F62" s="9">
        <v>45782</v>
      </c>
      <c r="G62" s="10">
        <f t="shared" ca="1" si="0"/>
        <v>0.58082191780821912</v>
      </c>
    </row>
    <row r="63" spans="1:7" x14ac:dyDescent="0.35">
      <c r="A63" s="8">
        <v>501342</v>
      </c>
      <c r="B63" s="8" t="s">
        <v>166</v>
      </c>
      <c r="C63" s="8" t="s">
        <v>151</v>
      </c>
      <c r="D63" s="8" t="s">
        <v>139</v>
      </c>
      <c r="E63" s="8" t="s">
        <v>167</v>
      </c>
      <c r="F63" s="9">
        <v>44655</v>
      </c>
      <c r="G63" s="10">
        <f t="shared" ca="1" si="0"/>
        <v>3.6684931506849314</v>
      </c>
    </row>
    <row r="64" spans="1:7" x14ac:dyDescent="0.35">
      <c r="A64" s="8">
        <v>1914</v>
      </c>
      <c r="B64" s="8" t="s">
        <v>168</v>
      </c>
      <c r="C64" s="8" t="s">
        <v>154</v>
      </c>
      <c r="D64" s="8" t="s">
        <v>139</v>
      </c>
      <c r="E64" s="8" t="s">
        <v>169</v>
      </c>
      <c r="F64" s="9">
        <v>42982</v>
      </c>
      <c r="G64" s="10">
        <f t="shared" ca="1" si="0"/>
        <v>8.2520547945205482</v>
      </c>
    </row>
    <row r="65" spans="1:7" x14ac:dyDescent="0.35">
      <c r="A65" s="5">
        <v>502495</v>
      </c>
      <c r="B65" s="5" t="s">
        <v>170</v>
      </c>
      <c r="C65" s="5" t="s">
        <v>154</v>
      </c>
      <c r="D65" s="5" t="s">
        <v>139</v>
      </c>
      <c r="E65" s="5" t="s">
        <v>171</v>
      </c>
      <c r="F65" s="6">
        <v>45922</v>
      </c>
      <c r="G65" s="7">
        <f t="shared" ca="1" si="0"/>
        <v>0.19726027397260273</v>
      </c>
    </row>
    <row r="66" spans="1:7" x14ac:dyDescent="0.35">
      <c r="A66" s="8">
        <v>1713</v>
      </c>
      <c r="B66" s="8" t="s">
        <v>172</v>
      </c>
      <c r="C66" s="8" t="s">
        <v>154</v>
      </c>
      <c r="D66" s="8" t="s">
        <v>139</v>
      </c>
      <c r="E66" s="8" t="s">
        <v>173</v>
      </c>
      <c r="F66" s="9">
        <v>42767</v>
      </c>
      <c r="G66" s="10">
        <f t="shared" ca="1" si="0"/>
        <v>8.8410958904109584</v>
      </c>
    </row>
    <row r="67" spans="1:7" x14ac:dyDescent="0.35">
      <c r="A67" s="5">
        <v>502528</v>
      </c>
      <c r="B67" s="5" t="s">
        <v>174</v>
      </c>
      <c r="C67" s="5" t="s">
        <v>154</v>
      </c>
      <c r="D67" s="5" t="s">
        <v>139</v>
      </c>
      <c r="E67" s="5" t="s">
        <v>175</v>
      </c>
      <c r="F67" s="6">
        <v>45950</v>
      </c>
      <c r="G67" s="7">
        <f t="shared" ca="1" si="0"/>
        <v>0.12054794520547946</v>
      </c>
    </row>
    <row r="68" spans="1:7" x14ac:dyDescent="0.35">
      <c r="A68" s="8">
        <v>502316</v>
      </c>
      <c r="B68" s="8" t="s">
        <v>176</v>
      </c>
      <c r="C68" s="8" t="s">
        <v>154</v>
      </c>
      <c r="D68" s="8" t="s">
        <v>139</v>
      </c>
      <c r="E68" s="8" t="s">
        <v>177</v>
      </c>
      <c r="F68" s="9">
        <v>45873</v>
      </c>
      <c r="G68" s="10">
        <f t="shared" ca="1" si="0"/>
        <v>0.33150684931506852</v>
      </c>
    </row>
    <row r="69" spans="1:7" x14ac:dyDescent="0.35">
      <c r="A69" s="8">
        <v>500744</v>
      </c>
      <c r="B69" s="8" t="s">
        <v>178</v>
      </c>
      <c r="C69" s="8" t="s">
        <v>154</v>
      </c>
      <c r="D69" s="8" t="s">
        <v>139</v>
      </c>
      <c r="E69" s="8" t="s">
        <v>179</v>
      </c>
      <c r="F69" s="9">
        <v>43678</v>
      </c>
      <c r="G69" s="10">
        <f t="shared" ref="G69:G132" ca="1" si="1">($G$1-F69)/365</f>
        <v>6.3452054794520549</v>
      </c>
    </row>
    <row r="70" spans="1:7" x14ac:dyDescent="0.35">
      <c r="A70" s="8">
        <v>1557</v>
      </c>
      <c r="B70" s="8" t="s">
        <v>180</v>
      </c>
      <c r="C70" s="8" t="s">
        <v>181</v>
      </c>
      <c r="D70" s="8" t="s">
        <v>139</v>
      </c>
      <c r="E70" s="8" t="s">
        <v>182</v>
      </c>
      <c r="F70" s="9">
        <v>42051</v>
      </c>
      <c r="G70" s="10">
        <f t="shared" ca="1" si="1"/>
        <v>10.802739726027397</v>
      </c>
    </row>
    <row r="71" spans="1:7" x14ac:dyDescent="0.35">
      <c r="A71" s="8">
        <v>501734</v>
      </c>
      <c r="B71" s="8" t="s">
        <v>183</v>
      </c>
      <c r="C71" s="8" t="s">
        <v>184</v>
      </c>
      <c r="D71" s="8" t="s">
        <v>139</v>
      </c>
      <c r="E71" s="8" t="s">
        <v>185</v>
      </c>
      <c r="F71" s="9">
        <v>45264</v>
      </c>
      <c r="G71" s="10">
        <f t="shared" ca="1" si="1"/>
        <v>2</v>
      </c>
    </row>
    <row r="72" spans="1:7" x14ac:dyDescent="0.35">
      <c r="A72" s="8">
        <v>501642</v>
      </c>
      <c r="B72" s="8" t="s">
        <v>186</v>
      </c>
      <c r="C72" s="8" t="s">
        <v>184</v>
      </c>
      <c r="D72" s="8" t="s">
        <v>139</v>
      </c>
      <c r="E72" s="8" t="s">
        <v>187</v>
      </c>
      <c r="F72" s="9">
        <v>45124</v>
      </c>
      <c r="G72" s="10">
        <f t="shared" ca="1" si="1"/>
        <v>2.3835616438356166</v>
      </c>
    </row>
    <row r="73" spans="1:7" x14ac:dyDescent="0.35">
      <c r="A73" s="8">
        <v>501645</v>
      </c>
      <c r="B73" s="8" t="s">
        <v>188</v>
      </c>
      <c r="C73" s="8" t="s">
        <v>119</v>
      </c>
      <c r="D73" s="8" t="s">
        <v>139</v>
      </c>
      <c r="E73" s="8" t="s">
        <v>189</v>
      </c>
      <c r="F73" s="9">
        <v>45845</v>
      </c>
      <c r="G73" s="10">
        <f t="shared" ca="1" si="1"/>
        <v>0.40821917808219177</v>
      </c>
    </row>
    <row r="74" spans="1:7" x14ac:dyDescent="0.35">
      <c r="A74" s="8">
        <v>470</v>
      </c>
      <c r="B74" s="8" t="s">
        <v>190</v>
      </c>
      <c r="C74" s="8" t="s">
        <v>191</v>
      </c>
      <c r="D74" s="8" t="s">
        <v>139</v>
      </c>
      <c r="E74" s="8" t="s">
        <v>192</v>
      </c>
      <c r="F74" s="9">
        <v>39419</v>
      </c>
      <c r="G74" s="10">
        <f t="shared" ca="1" si="1"/>
        <v>18.013698630136986</v>
      </c>
    </row>
    <row r="75" spans="1:7" x14ac:dyDescent="0.35">
      <c r="A75" s="8">
        <v>154</v>
      </c>
      <c r="B75" s="8" t="s">
        <v>193</v>
      </c>
      <c r="C75" s="8" t="s">
        <v>194</v>
      </c>
      <c r="D75" s="8" t="s">
        <v>139</v>
      </c>
      <c r="E75" s="8" t="s">
        <v>195</v>
      </c>
      <c r="F75" s="9">
        <v>38657</v>
      </c>
      <c r="G75" s="10">
        <f t="shared" ca="1" si="1"/>
        <v>20.101369863013698</v>
      </c>
    </row>
    <row r="76" spans="1:7" x14ac:dyDescent="0.35">
      <c r="A76" s="8">
        <v>73</v>
      </c>
      <c r="B76" s="8" t="s">
        <v>196</v>
      </c>
      <c r="C76" s="8" t="s">
        <v>197</v>
      </c>
      <c r="D76" s="8" t="s">
        <v>139</v>
      </c>
      <c r="E76" s="8" t="s">
        <v>198</v>
      </c>
      <c r="F76" s="9">
        <v>35886</v>
      </c>
      <c r="G76" s="10">
        <f t="shared" ca="1" si="1"/>
        <v>27.693150684931506</v>
      </c>
    </row>
    <row r="77" spans="1:7" x14ac:dyDescent="0.35">
      <c r="A77" s="8">
        <v>501723</v>
      </c>
      <c r="B77" s="8" t="s">
        <v>199</v>
      </c>
      <c r="C77" s="8" t="s">
        <v>200</v>
      </c>
      <c r="D77" s="8" t="s">
        <v>201</v>
      </c>
      <c r="E77" s="8" t="s">
        <v>202</v>
      </c>
      <c r="F77" s="9">
        <v>45246</v>
      </c>
      <c r="G77" s="10">
        <f t="shared" ca="1" si="1"/>
        <v>2.0493150684931507</v>
      </c>
    </row>
    <row r="78" spans="1:7" x14ac:dyDescent="0.35">
      <c r="A78" s="8">
        <v>500805</v>
      </c>
      <c r="B78" s="8" t="s">
        <v>203</v>
      </c>
      <c r="C78" s="8" t="s">
        <v>204</v>
      </c>
      <c r="D78" s="8" t="s">
        <v>201</v>
      </c>
      <c r="E78" s="8" t="s">
        <v>205</v>
      </c>
      <c r="F78" s="9">
        <v>43754</v>
      </c>
      <c r="G78" s="10">
        <f t="shared" ca="1" si="1"/>
        <v>6.1369863013698627</v>
      </c>
    </row>
    <row r="79" spans="1:7" x14ac:dyDescent="0.35">
      <c r="A79" s="8">
        <v>501750</v>
      </c>
      <c r="B79" s="8" t="s">
        <v>206</v>
      </c>
      <c r="C79" s="8" t="s">
        <v>207</v>
      </c>
      <c r="D79" s="8" t="s">
        <v>201</v>
      </c>
      <c r="E79" s="8" t="s">
        <v>208</v>
      </c>
      <c r="F79" s="9">
        <v>45293</v>
      </c>
      <c r="G79" s="10">
        <f t="shared" ca="1" si="1"/>
        <v>1.9205479452054794</v>
      </c>
    </row>
    <row r="80" spans="1:7" x14ac:dyDescent="0.35">
      <c r="A80" s="8">
        <v>101231</v>
      </c>
      <c r="B80" s="8" t="s">
        <v>209</v>
      </c>
      <c r="C80" s="8" t="s">
        <v>210</v>
      </c>
      <c r="D80" s="8" t="s">
        <v>201</v>
      </c>
      <c r="E80" s="8" t="s">
        <v>211</v>
      </c>
      <c r="F80" s="9">
        <v>41981</v>
      </c>
      <c r="G80" s="10">
        <f t="shared" ca="1" si="1"/>
        <v>10.994520547945205</v>
      </c>
    </row>
    <row r="81" spans="1:7" x14ac:dyDescent="0.35">
      <c r="A81" s="8">
        <v>501755</v>
      </c>
      <c r="B81" s="8" t="s">
        <v>212</v>
      </c>
      <c r="C81" s="8" t="s">
        <v>213</v>
      </c>
      <c r="D81" s="8" t="s">
        <v>201</v>
      </c>
      <c r="E81" s="8" t="s">
        <v>214</v>
      </c>
      <c r="F81" s="9">
        <v>45307</v>
      </c>
      <c r="G81" s="10">
        <f t="shared" ca="1" si="1"/>
        <v>1.8821917808219177</v>
      </c>
    </row>
    <row r="82" spans="1:7" x14ac:dyDescent="0.35">
      <c r="A82" s="8">
        <v>501820</v>
      </c>
      <c r="B82" s="8" t="s">
        <v>215</v>
      </c>
      <c r="C82" s="8" t="s">
        <v>216</v>
      </c>
      <c r="D82" s="8" t="s">
        <v>201</v>
      </c>
      <c r="E82" s="8" t="s">
        <v>217</v>
      </c>
      <c r="F82" s="9">
        <v>45398</v>
      </c>
      <c r="G82" s="10">
        <f t="shared" ca="1" si="1"/>
        <v>1.6328767123287671</v>
      </c>
    </row>
    <row r="83" spans="1:7" x14ac:dyDescent="0.35">
      <c r="A83" s="8">
        <v>1665</v>
      </c>
      <c r="B83" s="8" t="s">
        <v>218</v>
      </c>
      <c r="C83" s="8" t="s">
        <v>213</v>
      </c>
      <c r="D83" s="8" t="s">
        <v>201</v>
      </c>
      <c r="E83" s="8" t="s">
        <v>219</v>
      </c>
      <c r="F83" s="9">
        <v>42660</v>
      </c>
      <c r="G83" s="10">
        <f t="shared" ca="1" si="1"/>
        <v>9.1342465753424662</v>
      </c>
    </row>
    <row r="84" spans="1:7" x14ac:dyDescent="0.35">
      <c r="A84" s="8">
        <v>502309</v>
      </c>
      <c r="B84" s="8" t="s">
        <v>220</v>
      </c>
      <c r="C84" s="8" t="s">
        <v>221</v>
      </c>
      <c r="D84" s="8" t="s">
        <v>201</v>
      </c>
      <c r="E84" s="8" t="s">
        <v>222</v>
      </c>
      <c r="F84" s="9">
        <v>45873</v>
      </c>
      <c r="G84" s="10">
        <f t="shared" ca="1" si="1"/>
        <v>0.33150684931506852</v>
      </c>
    </row>
    <row r="85" spans="1:7" x14ac:dyDescent="0.35">
      <c r="A85" s="8">
        <v>501429</v>
      </c>
      <c r="B85" s="8" t="s">
        <v>223</v>
      </c>
      <c r="C85" s="8" t="s">
        <v>221</v>
      </c>
      <c r="D85" s="8" t="s">
        <v>201</v>
      </c>
      <c r="E85" s="8" t="s">
        <v>224</v>
      </c>
      <c r="F85" s="9">
        <v>44760</v>
      </c>
      <c r="G85" s="10">
        <f t="shared" ca="1" si="1"/>
        <v>3.3808219178082193</v>
      </c>
    </row>
    <row r="86" spans="1:7" x14ac:dyDescent="0.35">
      <c r="A86" s="5">
        <v>502526</v>
      </c>
      <c r="B86" s="5" t="s">
        <v>225</v>
      </c>
      <c r="C86" s="5" t="s">
        <v>226</v>
      </c>
      <c r="D86" s="5" t="s">
        <v>201</v>
      </c>
      <c r="E86" s="5" t="s">
        <v>227</v>
      </c>
      <c r="F86" s="6">
        <v>45950</v>
      </c>
      <c r="G86" s="7">
        <f t="shared" ca="1" si="1"/>
        <v>0.12054794520547946</v>
      </c>
    </row>
    <row r="87" spans="1:7" x14ac:dyDescent="0.35">
      <c r="A87" s="8">
        <v>501819</v>
      </c>
      <c r="B87" s="8" t="s">
        <v>228</v>
      </c>
      <c r="C87" s="8" t="s">
        <v>229</v>
      </c>
      <c r="D87" s="8" t="s">
        <v>201</v>
      </c>
      <c r="E87" s="8" t="s">
        <v>230</v>
      </c>
      <c r="F87" s="9">
        <v>45398</v>
      </c>
      <c r="G87" s="10">
        <f t="shared" ca="1" si="1"/>
        <v>1.6328767123287671</v>
      </c>
    </row>
    <row r="88" spans="1:7" x14ac:dyDescent="0.35">
      <c r="A88" s="8">
        <v>502250</v>
      </c>
      <c r="B88" s="8" t="s">
        <v>231</v>
      </c>
      <c r="C88" s="8" t="s">
        <v>221</v>
      </c>
      <c r="D88" s="8" t="s">
        <v>201</v>
      </c>
      <c r="E88" s="8" t="s">
        <v>232</v>
      </c>
      <c r="F88" s="9">
        <v>45824</v>
      </c>
      <c r="G88" s="10">
        <f t="shared" ca="1" si="1"/>
        <v>0.46575342465753422</v>
      </c>
    </row>
    <row r="89" spans="1:7" x14ac:dyDescent="0.35">
      <c r="A89" s="8">
        <v>501962</v>
      </c>
      <c r="B89" s="8" t="s">
        <v>233</v>
      </c>
      <c r="C89" s="8" t="s">
        <v>216</v>
      </c>
      <c r="D89" s="8" t="s">
        <v>201</v>
      </c>
      <c r="E89" s="8" t="s">
        <v>234</v>
      </c>
      <c r="F89" s="9">
        <v>45537</v>
      </c>
      <c r="G89" s="10">
        <f t="shared" ca="1" si="1"/>
        <v>1.252054794520548</v>
      </c>
    </row>
    <row r="90" spans="1:7" x14ac:dyDescent="0.35">
      <c r="A90" s="8">
        <v>501791</v>
      </c>
      <c r="B90" s="8" t="s">
        <v>235</v>
      </c>
      <c r="C90" s="8" t="s">
        <v>236</v>
      </c>
      <c r="D90" s="8" t="s">
        <v>201</v>
      </c>
      <c r="E90" s="8" t="s">
        <v>237</v>
      </c>
      <c r="F90" s="9">
        <v>45355</v>
      </c>
      <c r="G90" s="10">
        <f t="shared" ca="1" si="1"/>
        <v>1.7506849315068493</v>
      </c>
    </row>
    <row r="91" spans="1:7" x14ac:dyDescent="0.35">
      <c r="A91" s="8">
        <v>501800</v>
      </c>
      <c r="B91" s="8" t="s">
        <v>238</v>
      </c>
      <c r="C91" s="8" t="s">
        <v>239</v>
      </c>
      <c r="D91" s="8" t="s">
        <v>201</v>
      </c>
      <c r="E91" s="8" t="s">
        <v>240</v>
      </c>
      <c r="F91" s="9">
        <v>45370</v>
      </c>
      <c r="G91" s="10">
        <f t="shared" ca="1" si="1"/>
        <v>1.7095890410958905</v>
      </c>
    </row>
    <row r="92" spans="1:7" x14ac:dyDescent="0.35">
      <c r="A92" s="8">
        <v>501828</v>
      </c>
      <c r="B92" s="8" t="s">
        <v>241</v>
      </c>
      <c r="C92" s="8" t="s">
        <v>242</v>
      </c>
      <c r="D92" s="8" t="s">
        <v>201</v>
      </c>
      <c r="E92" s="8" t="s">
        <v>243</v>
      </c>
      <c r="F92" s="9">
        <v>45404</v>
      </c>
      <c r="G92" s="10">
        <f t="shared" ca="1" si="1"/>
        <v>1.6164383561643836</v>
      </c>
    </row>
    <row r="93" spans="1:7" x14ac:dyDescent="0.35">
      <c r="A93" s="8">
        <v>502199</v>
      </c>
      <c r="B93" s="8" t="s">
        <v>244</v>
      </c>
      <c r="C93" s="8" t="s">
        <v>245</v>
      </c>
      <c r="D93" s="8" t="s">
        <v>201</v>
      </c>
      <c r="E93" s="8" t="s">
        <v>246</v>
      </c>
      <c r="F93" s="9">
        <v>45782</v>
      </c>
      <c r="G93" s="10">
        <f t="shared" ca="1" si="1"/>
        <v>0.58082191780821912</v>
      </c>
    </row>
    <row r="94" spans="1:7" x14ac:dyDescent="0.35">
      <c r="A94" s="8">
        <v>502198</v>
      </c>
      <c r="B94" s="8" t="s">
        <v>247</v>
      </c>
      <c r="C94" s="8" t="s">
        <v>248</v>
      </c>
      <c r="D94" s="8" t="s">
        <v>201</v>
      </c>
      <c r="E94" s="8" t="s">
        <v>249</v>
      </c>
      <c r="F94" s="9">
        <v>45782</v>
      </c>
      <c r="G94" s="10">
        <f t="shared" ca="1" si="1"/>
        <v>0.58082191780821912</v>
      </c>
    </row>
    <row r="95" spans="1:7" x14ac:dyDescent="0.35">
      <c r="A95" s="8">
        <v>502180</v>
      </c>
      <c r="B95" s="8" t="s">
        <v>250</v>
      </c>
      <c r="C95" s="8" t="s">
        <v>251</v>
      </c>
      <c r="D95" s="8" t="s">
        <v>201</v>
      </c>
      <c r="E95" s="8" t="s">
        <v>252</v>
      </c>
      <c r="F95" s="9">
        <v>45768</v>
      </c>
      <c r="G95" s="10">
        <f t="shared" ca="1" si="1"/>
        <v>0.61917808219178083</v>
      </c>
    </row>
    <row r="96" spans="1:7" x14ac:dyDescent="0.35">
      <c r="A96" s="8">
        <v>501793</v>
      </c>
      <c r="B96" s="8" t="s">
        <v>253</v>
      </c>
      <c r="C96" s="8" t="s">
        <v>254</v>
      </c>
      <c r="D96" s="8" t="s">
        <v>201</v>
      </c>
      <c r="E96" s="8" t="s">
        <v>255</v>
      </c>
      <c r="F96" s="9">
        <v>45355</v>
      </c>
      <c r="G96" s="10">
        <f t="shared" ca="1" si="1"/>
        <v>1.7506849315068493</v>
      </c>
    </row>
    <row r="97" spans="1:7" x14ac:dyDescent="0.35">
      <c r="A97" s="8">
        <v>140</v>
      </c>
      <c r="B97" s="8" t="s">
        <v>256</v>
      </c>
      <c r="C97" s="8" t="s">
        <v>257</v>
      </c>
      <c r="D97" s="8" t="s">
        <v>201</v>
      </c>
      <c r="E97" s="8" t="s">
        <v>258</v>
      </c>
      <c r="F97" s="9">
        <v>38110</v>
      </c>
      <c r="G97" s="10">
        <f t="shared" ca="1" si="1"/>
        <v>21.6</v>
      </c>
    </row>
    <row r="98" spans="1:7" x14ac:dyDescent="0.35">
      <c r="A98" s="8">
        <v>501598</v>
      </c>
      <c r="B98" s="8" t="s">
        <v>259</v>
      </c>
      <c r="C98" s="8" t="s">
        <v>260</v>
      </c>
      <c r="D98" s="8" t="s">
        <v>201</v>
      </c>
      <c r="E98" s="8" t="s">
        <v>261</v>
      </c>
      <c r="F98" s="9">
        <v>45062</v>
      </c>
      <c r="G98" s="10">
        <f t="shared" ca="1" si="1"/>
        <v>2.5534246575342467</v>
      </c>
    </row>
    <row r="99" spans="1:7" x14ac:dyDescent="0.35">
      <c r="A99" s="8">
        <v>501833</v>
      </c>
      <c r="B99" s="8" t="s">
        <v>262</v>
      </c>
      <c r="C99" s="8" t="s">
        <v>257</v>
      </c>
      <c r="D99" s="8" t="s">
        <v>201</v>
      </c>
      <c r="E99" s="8" t="s">
        <v>263</v>
      </c>
      <c r="F99" s="9">
        <v>45414</v>
      </c>
      <c r="G99" s="10">
        <f t="shared" ca="1" si="1"/>
        <v>1.5890410958904109</v>
      </c>
    </row>
    <row r="100" spans="1:7" x14ac:dyDescent="0.35">
      <c r="A100" s="8">
        <v>501968</v>
      </c>
      <c r="B100" s="8" t="s">
        <v>264</v>
      </c>
      <c r="C100" s="8" t="s">
        <v>265</v>
      </c>
      <c r="D100" s="8" t="s">
        <v>201</v>
      </c>
      <c r="E100" s="8" t="s">
        <v>266</v>
      </c>
      <c r="F100" s="9">
        <v>45544</v>
      </c>
      <c r="G100" s="10">
        <f t="shared" ca="1" si="1"/>
        <v>1.2328767123287672</v>
      </c>
    </row>
    <row r="101" spans="1:7" x14ac:dyDescent="0.35">
      <c r="A101" s="8">
        <v>501969</v>
      </c>
      <c r="B101" s="8" t="s">
        <v>267</v>
      </c>
      <c r="C101" s="8" t="s">
        <v>268</v>
      </c>
      <c r="D101" s="8" t="s">
        <v>201</v>
      </c>
      <c r="E101" s="8" t="s">
        <v>269</v>
      </c>
      <c r="F101" s="9">
        <v>45544</v>
      </c>
      <c r="G101" s="10">
        <f t="shared" ca="1" si="1"/>
        <v>1.2328767123287672</v>
      </c>
    </row>
    <row r="102" spans="1:7" x14ac:dyDescent="0.35">
      <c r="A102" s="8">
        <v>502046</v>
      </c>
      <c r="B102" s="8" t="s">
        <v>270</v>
      </c>
      <c r="C102" s="8" t="s">
        <v>271</v>
      </c>
      <c r="D102" s="8" t="s">
        <v>201</v>
      </c>
      <c r="E102" s="8" t="s">
        <v>272</v>
      </c>
      <c r="F102" s="9">
        <v>45615</v>
      </c>
      <c r="G102" s="10">
        <f t="shared" ca="1" si="1"/>
        <v>1.0383561643835617</v>
      </c>
    </row>
    <row r="103" spans="1:7" x14ac:dyDescent="0.35">
      <c r="A103" s="8">
        <v>500999</v>
      </c>
      <c r="B103" s="8" t="s">
        <v>273</v>
      </c>
      <c r="C103" s="8" t="s">
        <v>274</v>
      </c>
      <c r="D103" s="8" t="s">
        <v>201</v>
      </c>
      <c r="E103" s="8" t="s">
        <v>275</v>
      </c>
      <c r="F103" s="9">
        <v>44291</v>
      </c>
      <c r="G103" s="10">
        <f t="shared" ca="1" si="1"/>
        <v>4.6657534246575345</v>
      </c>
    </row>
    <row r="104" spans="1:7" x14ac:dyDescent="0.35">
      <c r="A104" s="8">
        <v>502210</v>
      </c>
      <c r="B104" s="8" t="s">
        <v>276</v>
      </c>
      <c r="C104" s="8" t="s">
        <v>274</v>
      </c>
      <c r="D104" s="8" t="s">
        <v>201</v>
      </c>
      <c r="E104" s="8" t="s">
        <v>277</v>
      </c>
      <c r="F104" s="9">
        <v>45796</v>
      </c>
      <c r="G104" s="10">
        <f t="shared" ca="1" si="1"/>
        <v>0.54246575342465753</v>
      </c>
    </row>
    <row r="105" spans="1:7" x14ac:dyDescent="0.35">
      <c r="A105" s="8">
        <v>501972</v>
      </c>
      <c r="B105" s="8" t="s">
        <v>278</v>
      </c>
      <c r="C105" s="8" t="s">
        <v>279</v>
      </c>
      <c r="D105" s="8" t="s">
        <v>201</v>
      </c>
      <c r="E105" s="8" t="s">
        <v>280</v>
      </c>
      <c r="F105" s="9">
        <v>45552</v>
      </c>
      <c r="G105" s="10">
        <f t="shared" ca="1" si="1"/>
        <v>1.210958904109589</v>
      </c>
    </row>
    <row r="106" spans="1:7" x14ac:dyDescent="0.35">
      <c r="A106" s="8">
        <v>502052</v>
      </c>
      <c r="B106" s="8" t="s">
        <v>281</v>
      </c>
      <c r="C106" s="8" t="s">
        <v>282</v>
      </c>
      <c r="D106" s="8" t="s">
        <v>201</v>
      </c>
      <c r="E106" s="8" t="s">
        <v>283</v>
      </c>
      <c r="F106" s="9">
        <v>45615</v>
      </c>
      <c r="G106" s="10">
        <f t="shared" ca="1" si="1"/>
        <v>1.0383561643835617</v>
      </c>
    </row>
    <row r="107" spans="1:7" x14ac:dyDescent="0.35">
      <c r="A107" s="8">
        <v>501973</v>
      </c>
      <c r="B107" s="8" t="s">
        <v>284</v>
      </c>
      <c r="C107" s="8" t="s">
        <v>285</v>
      </c>
      <c r="D107" s="8" t="s">
        <v>201</v>
      </c>
      <c r="E107" s="8" t="s">
        <v>286</v>
      </c>
      <c r="F107" s="9">
        <v>45552</v>
      </c>
      <c r="G107" s="10">
        <f t="shared" ca="1" si="1"/>
        <v>1.210958904109589</v>
      </c>
    </row>
    <row r="108" spans="1:7" x14ac:dyDescent="0.35">
      <c r="A108" s="8">
        <v>500921</v>
      </c>
      <c r="B108" s="8" t="s">
        <v>287</v>
      </c>
      <c r="C108" s="8" t="s">
        <v>288</v>
      </c>
      <c r="D108" s="8" t="s">
        <v>201</v>
      </c>
      <c r="E108" s="8" t="s">
        <v>289</v>
      </c>
      <c r="F108" s="9">
        <v>43922</v>
      </c>
      <c r="G108" s="10">
        <f t="shared" ca="1" si="1"/>
        <v>5.6767123287671231</v>
      </c>
    </row>
    <row r="109" spans="1:7" x14ac:dyDescent="0.35">
      <c r="A109" s="8">
        <v>502032</v>
      </c>
      <c r="B109" s="8" t="s">
        <v>290</v>
      </c>
      <c r="C109" s="8" t="s">
        <v>288</v>
      </c>
      <c r="D109" s="8" t="s">
        <v>201</v>
      </c>
      <c r="E109" s="8" t="s">
        <v>291</v>
      </c>
      <c r="F109" s="9">
        <v>45600</v>
      </c>
      <c r="G109" s="10">
        <f t="shared" ca="1" si="1"/>
        <v>1.0794520547945206</v>
      </c>
    </row>
    <row r="110" spans="1:7" x14ac:dyDescent="0.35">
      <c r="A110" s="8">
        <v>501629</v>
      </c>
      <c r="B110" s="8" t="s">
        <v>292</v>
      </c>
      <c r="C110" s="8" t="s">
        <v>293</v>
      </c>
      <c r="D110" s="8" t="s">
        <v>201</v>
      </c>
      <c r="E110" s="8" t="s">
        <v>294</v>
      </c>
      <c r="F110" s="9">
        <v>45110</v>
      </c>
      <c r="G110" s="10">
        <f t="shared" ca="1" si="1"/>
        <v>2.4219178082191779</v>
      </c>
    </row>
    <row r="111" spans="1:7" x14ac:dyDescent="0.35">
      <c r="A111" s="8">
        <v>501816</v>
      </c>
      <c r="B111" s="8" t="s">
        <v>295</v>
      </c>
      <c r="C111" s="8" t="s">
        <v>296</v>
      </c>
      <c r="D111" s="8" t="s">
        <v>201</v>
      </c>
      <c r="E111" s="8" t="s">
        <v>297</v>
      </c>
      <c r="F111" s="9">
        <v>45398</v>
      </c>
      <c r="G111" s="10">
        <f t="shared" ca="1" si="1"/>
        <v>1.6328767123287671</v>
      </c>
    </row>
    <row r="112" spans="1:7" x14ac:dyDescent="0.35">
      <c r="A112" s="8">
        <v>502470</v>
      </c>
      <c r="B112" s="8" t="s">
        <v>298</v>
      </c>
      <c r="C112" s="8" t="s">
        <v>299</v>
      </c>
      <c r="D112" s="8" t="s">
        <v>201</v>
      </c>
      <c r="E112" s="8" t="s">
        <v>300</v>
      </c>
      <c r="F112" s="9">
        <v>45159</v>
      </c>
      <c r="G112" s="10">
        <f t="shared" ca="1" si="1"/>
        <v>2.2876712328767121</v>
      </c>
    </row>
    <row r="113" spans="1:7" x14ac:dyDescent="0.35">
      <c r="A113" s="8">
        <v>502468</v>
      </c>
      <c r="B113" s="8" t="s">
        <v>301</v>
      </c>
      <c r="C113" s="8" t="s">
        <v>302</v>
      </c>
      <c r="D113" s="8" t="s">
        <v>201</v>
      </c>
      <c r="E113" s="8" t="s">
        <v>303</v>
      </c>
      <c r="F113" s="9">
        <v>43801</v>
      </c>
      <c r="G113" s="10">
        <f t="shared" ca="1" si="1"/>
        <v>6.0082191780821921</v>
      </c>
    </row>
    <row r="114" spans="1:7" x14ac:dyDescent="0.35">
      <c r="A114" s="8">
        <v>502266</v>
      </c>
      <c r="B114" s="8" t="s">
        <v>304</v>
      </c>
      <c r="C114" s="8" t="s">
        <v>305</v>
      </c>
      <c r="D114" s="8" t="s">
        <v>201</v>
      </c>
      <c r="E114" s="8" t="s">
        <v>306</v>
      </c>
      <c r="F114" s="9">
        <v>45845</v>
      </c>
      <c r="G114" s="10">
        <f t="shared" ca="1" si="1"/>
        <v>0.40821917808219177</v>
      </c>
    </row>
    <row r="115" spans="1:7" x14ac:dyDescent="0.35">
      <c r="A115" s="5">
        <v>502529</v>
      </c>
      <c r="B115" s="5" t="s">
        <v>307</v>
      </c>
      <c r="C115" s="5" t="s">
        <v>308</v>
      </c>
      <c r="D115" s="5" t="s">
        <v>201</v>
      </c>
      <c r="E115" s="5" t="s">
        <v>309</v>
      </c>
      <c r="F115" s="6">
        <v>45950</v>
      </c>
      <c r="G115" s="7">
        <f t="shared" ca="1" si="1"/>
        <v>0.12054794520547946</v>
      </c>
    </row>
    <row r="116" spans="1:7" x14ac:dyDescent="0.35">
      <c r="A116" s="8">
        <v>501876</v>
      </c>
      <c r="B116" s="8" t="s">
        <v>310</v>
      </c>
      <c r="C116" s="8" t="s">
        <v>311</v>
      </c>
      <c r="D116" s="8" t="s">
        <v>201</v>
      </c>
      <c r="E116" s="8" t="s">
        <v>312</v>
      </c>
      <c r="F116" s="9">
        <v>45460</v>
      </c>
      <c r="G116" s="10">
        <f t="shared" ca="1" si="1"/>
        <v>1.463013698630137</v>
      </c>
    </row>
    <row r="117" spans="1:7" x14ac:dyDescent="0.35">
      <c r="A117" s="8">
        <v>502005</v>
      </c>
      <c r="B117" s="8" t="s">
        <v>313</v>
      </c>
      <c r="C117" s="8" t="s">
        <v>314</v>
      </c>
      <c r="D117" s="8" t="s">
        <v>201</v>
      </c>
      <c r="E117" s="8" t="s">
        <v>315</v>
      </c>
      <c r="F117" s="9">
        <v>45572</v>
      </c>
      <c r="G117" s="10">
        <f t="shared" ca="1" si="1"/>
        <v>1.1561643835616437</v>
      </c>
    </row>
    <row r="118" spans="1:7" x14ac:dyDescent="0.35">
      <c r="A118" s="8">
        <v>501957</v>
      </c>
      <c r="B118" s="8" t="s">
        <v>316</v>
      </c>
      <c r="C118" s="8" t="s">
        <v>317</v>
      </c>
      <c r="D118" s="8" t="s">
        <v>201</v>
      </c>
      <c r="E118" s="8" t="s">
        <v>318</v>
      </c>
      <c r="F118" s="9">
        <v>45537</v>
      </c>
      <c r="G118" s="10">
        <f t="shared" ca="1" si="1"/>
        <v>1.252054794520548</v>
      </c>
    </row>
    <row r="119" spans="1:7" x14ac:dyDescent="0.35">
      <c r="A119" s="8">
        <v>501821</v>
      </c>
      <c r="B119" s="8" t="s">
        <v>319</v>
      </c>
      <c r="C119" s="8" t="s">
        <v>320</v>
      </c>
      <c r="D119" s="8" t="s">
        <v>201</v>
      </c>
      <c r="E119" s="8" t="s">
        <v>321</v>
      </c>
      <c r="F119" s="9">
        <v>45398</v>
      </c>
      <c r="G119" s="10">
        <f t="shared" ca="1" si="1"/>
        <v>1.6328767123287671</v>
      </c>
    </row>
    <row r="120" spans="1:7" x14ac:dyDescent="0.35">
      <c r="A120" s="5">
        <v>502523</v>
      </c>
      <c r="B120" s="5" t="s">
        <v>322</v>
      </c>
      <c r="C120" s="5" t="s">
        <v>323</v>
      </c>
      <c r="D120" s="5" t="s">
        <v>201</v>
      </c>
      <c r="E120" s="5" t="s">
        <v>324</v>
      </c>
      <c r="F120" s="6">
        <v>45950</v>
      </c>
      <c r="G120" s="7">
        <f t="shared" ca="1" si="1"/>
        <v>0.12054794520547946</v>
      </c>
    </row>
    <row r="121" spans="1:7" x14ac:dyDescent="0.35">
      <c r="A121" s="8">
        <v>501989</v>
      </c>
      <c r="B121" s="8" t="s">
        <v>325</v>
      </c>
      <c r="C121" s="8" t="s">
        <v>326</v>
      </c>
      <c r="D121" s="8" t="s">
        <v>201</v>
      </c>
      <c r="E121" s="8" t="s">
        <v>327</v>
      </c>
      <c r="F121" s="9">
        <v>45567</v>
      </c>
      <c r="G121" s="10">
        <f t="shared" ca="1" si="1"/>
        <v>1.1698630136986301</v>
      </c>
    </row>
    <row r="122" spans="1:7" x14ac:dyDescent="0.35">
      <c r="A122" s="8">
        <v>502330</v>
      </c>
      <c r="B122" s="8" t="s">
        <v>328</v>
      </c>
      <c r="C122" s="8" t="s">
        <v>329</v>
      </c>
      <c r="D122" s="8" t="s">
        <v>201</v>
      </c>
      <c r="E122" s="8" t="s">
        <v>330</v>
      </c>
      <c r="F122" s="9">
        <v>45887</v>
      </c>
      <c r="G122" s="10">
        <f t="shared" ca="1" si="1"/>
        <v>0.29315068493150687</v>
      </c>
    </row>
    <row r="123" spans="1:7" x14ac:dyDescent="0.35">
      <c r="A123" s="8">
        <v>100902</v>
      </c>
      <c r="B123" s="8" t="s">
        <v>331</v>
      </c>
      <c r="C123" s="8" t="s">
        <v>332</v>
      </c>
      <c r="D123" s="8" t="s">
        <v>201</v>
      </c>
      <c r="E123" s="8" t="s">
        <v>333</v>
      </c>
      <c r="F123" s="9">
        <v>41442</v>
      </c>
      <c r="G123" s="10">
        <f t="shared" ca="1" si="1"/>
        <v>12.471232876712328</v>
      </c>
    </row>
    <row r="124" spans="1:7" x14ac:dyDescent="0.35">
      <c r="A124" s="8">
        <v>910</v>
      </c>
      <c r="B124" s="8" t="s">
        <v>334</v>
      </c>
      <c r="C124" s="8" t="s">
        <v>332</v>
      </c>
      <c r="D124" s="8" t="s">
        <v>201</v>
      </c>
      <c r="E124" s="8" t="s">
        <v>335</v>
      </c>
      <c r="F124" s="9">
        <v>39615</v>
      </c>
      <c r="G124" s="10">
        <f t="shared" ca="1" si="1"/>
        <v>17.476712328767125</v>
      </c>
    </row>
    <row r="125" spans="1:7" x14ac:dyDescent="0.35">
      <c r="A125" s="8">
        <v>101276</v>
      </c>
      <c r="B125" s="8" t="s">
        <v>336</v>
      </c>
      <c r="C125" s="8" t="s">
        <v>332</v>
      </c>
      <c r="D125" s="8" t="s">
        <v>201</v>
      </c>
      <c r="E125" s="8" t="s">
        <v>337</v>
      </c>
      <c r="F125" s="9">
        <v>42051</v>
      </c>
      <c r="G125" s="10">
        <f t="shared" ca="1" si="1"/>
        <v>10.802739726027397</v>
      </c>
    </row>
    <row r="126" spans="1:7" x14ac:dyDescent="0.35">
      <c r="A126" s="8">
        <v>501676</v>
      </c>
      <c r="B126" s="8" t="s">
        <v>338</v>
      </c>
      <c r="C126" s="8" t="s">
        <v>339</v>
      </c>
      <c r="D126" s="8" t="s">
        <v>201</v>
      </c>
      <c r="E126" s="8" t="s">
        <v>340</v>
      </c>
      <c r="F126" s="9">
        <v>45173</v>
      </c>
      <c r="G126" s="10">
        <f t="shared" ca="1" si="1"/>
        <v>2.2493150684931509</v>
      </c>
    </row>
    <row r="127" spans="1:7" x14ac:dyDescent="0.35">
      <c r="A127" s="8">
        <v>501995</v>
      </c>
      <c r="B127" s="8" t="s">
        <v>341</v>
      </c>
      <c r="C127" s="8" t="s">
        <v>342</v>
      </c>
      <c r="D127" s="8" t="s">
        <v>201</v>
      </c>
      <c r="E127" s="8" t="s">
        <v>343</v>
      </c>
      <c r="F127" s="9">
        <v>45567</v>
      </c>
      <c r="G127" s="10">
        <f t="shared" ca="1" si="1"/>
        <v>1.1698630136986301</v>
      </c>
    </row>
    <row r="128" spans="1:7" x14ac:dyDescent="0.35">
      <c r="A128" s="8">
        <v>501994</v>
      </c>
      <c r="B128" s="8" t="s">
        <v>344</v>
      </c>
      <c r="C128" s="8" t="s">
        <v>342</v>
      </c>
      <c r="D128" s="8" t="s">
        <v>201</v>
      </c>
      <c r="E128" s="8" t="s">
        <v>345</v>
      </c>
      <c r="F128" s="9">
        <v>45567</v>
      </c>
      <c r="G128" s="10">
        <f t="shared" ca="1" si="1"/>
        <v>1.1698630136986301</v>
      </c>
    </row>
    <row r="129" spans="1:7" x14ac:dyDescent="0.35">
      <c r="A129" s="8">
        <v>502004</v>
      </c>
      <c r="B129" s="8" t="s">
        <v>346</v>
      </c>
      <c r="C129" s="8" t="s">
        <v>342</v>
      </c>
      <c r="D129" s="8" t="s">
        <v>201</v>
      </c>
      <c r="E129" s="8" t="s">
        <v>347</v>
      </c>
      <c r="F129" s="9">
        <v>45572</v>
      </c>
      <c r="G129" s="10">
        <f t="shared" ca="1" si="1"/>
        <v>1.1561643835616437</v>
      </c>
    </row>
    <row r="130" spans="1:7" x14ac:dyDescent="0.35">
      <c r="A130" s="8">
        <v>100792</v>
      </c>
      <c r="B130" s="8" t="s">
        <v>348</v>
      </c>
      <c r="C130" s="8" t="s">
        <v>342</v>
      </c>
      <c r="D130" s="8" t="s">
        <v>201</v>
      </c>
      <c r="E130" s="8" t="s">
        <v>349</v>
      </c>
      <c r="F130" s="9">
        <v>41276</v>
      </c>
      <c r="G130" s="10">
        <f t="shared" ca="1" si="1"/>
        <v>12.926027397260274</v>
      </c>
    </row>
    <row r="131" spans="1:7" x14ac:dyDescent="0.35">
      <c r="A131" s="8">
        <v>502302</v>
      </c>
      <c r="B131" s="8" t="s">
        <v>350</v>
      </c>
      <c r="C131" s="8" t="s">
        <v>342</v>
      </c>
      <c r="D131" s="8" t="s">
        <v>201</v>
      </c>
      <c r="E131" s="8" t="s">
        <v>351</v>
      </c>
      <c r="F131" s="9">
        <v>45873</v>
      </c>
      <c r="G131" s="10">
        <f t="shared" ca="1" si="1"/>
        <v>0.33150684931506852</v>
      </c>
    </row>
    <row r="132" spans="1:7" x14ac:dyDescent="0.35">
      <c r="A132" s="8">
        <v>500466</v>
      </c>
      <c r="B132" s="8" t="s">
        <v>352</v>
      </c>
      <c r="C132" s="8" t="s">
        <v>353</v>
      </c>
      <c r="D132" s="8" t="s">
        <v>201</v>
      </c>
      <c r="E132" s="8" t="s">
        <v>354</v>
      </c>
      <c r="F132" s="9">
        <v>43269</v>
      </c>
      <c r="G132" s="10">
        <f t="shared" ca="1" si="1"/>
        <v>7.4657534246575343</v>
      </c>
    </row>
    <row r="133" spans="1:7" x14ac:dyDescent="0.35">
      <c r="A133" s="8">
        <v>502171</v>
      </c>
      <c r="B133" s="8" t="s">
        <v>355</v>
      </c>
      <c r="C133" s="8" t="s">
        <v>329</v>
      </c>
      <c r="D133" s="8" t="s">
        <v>201</v>
      </c>
      <c r="E133" s="8" t="s">
        <v>356</v>
      </c>
      <c r="F133" s="9">
        <v>45768</v>
      </c>
      <c r="G133" s="10">
        <f t="shared" ref="G133:G196" ca="1" si="2">($G$1-F133)/365</f>
        <v>0.61917808219178083</v>
      </c>
    </row>
    <row r="134" spans="1:7" x14ac:dyDescent="0.35">
      <c r="A134" s="8">
        <v>502140</v>
      </c>
      <c r="B134" s="8" t="s">
        <v>357</v>
      </c>
      <c r="C134" s="8" t="s">
        <v>329</v>
      </c>
      <c r="D134" s="8" t="s">
        <v>201</v>
      </c>
      <c r="E134" s="8" t="s">
        <v>358</v>
      </c>
      <c r="F134" s="9">
        <v>45734</v>
      </c>
      <c r="G134" s="10">
        <f t="shared" ca="1" si="2"/>
        <v>0.71232876712328763</v>
      </c>
    </row>
    <row r="135" spans="1:7" x14ac:dyDescent="0.35">
      <c r="A135" s="8">
        <v>501678</v>
      </c>
      <c r="B135" s="8" t="s">
        <v>359</v>
      </c>
      <c r="C135" s="8" t="s">
        <v>329</v>
      </c>
      <c r="D135" s="8" t="s">
        <v>201</v>
      </c>
      <c r="E135" s="8" t="s">
        <v>360</v>
      </c>
      <c r="F135" s="9">
        <v>45173</v>
      </c>
      <c r="G135" s="10">
        <f t="shared" ca="1" si="2"/>
        <v>2.2493150684931509</v>
      </c>
    </row>
    <row r="136" spans="1:7" x14ac:dyDescent="0.35">
      <c r="A136" s="8">
        <v>501559</v>
      </c>
      <c r="B136" s="8" t="s">
        <v>361</v>
      </c>
      <c r="C136" s="8" t="s">
        <v>329</v>
      </c>
      <c r="D136" s="8" t="s">
        <v>201</v>
      </c>
      <c r="E136" s="8" t="s">
        <v>362</v>
      </c>
      <c r="F136" s="9">
        <v>44986</v>
      </c>
      <c r="G136" s="10">
        <f t="shared" ca="1" si="2"/>
        <v>2.7616438356164386</v>
      </c>
    </row>
    <row r="137" spans="1:7" x14ac:dyDescent="0.35">
      <c r="A137" s="8">
        <v>502471</v>
      </c>
      <c r="B137" s="8" t="s">
        <v>363</v>
      </c>
      <c r="C137" s="8" t="s">
        <v>364</v>
      </c>
      <c r="D137" s="8" t="s">
        <v>201</v>
      </c>
      <c r="E137" s="8" t="s">
        <v>365</v>
      </c>
      <c r="F137" s="9">
        <v>44229</v>
      </c>
      <c r="G137" s="10">
        <f t="shared" ca="1" si="2"/>
        <v>4.8356164383561646</v>
      </c>
    </row>
    <row r="138" spans="1:7" x14ac:dyDescent="0.35">
      <c r="A138" s="8">
        <v>502469</v>
      </c>
      <c r="B138" s="8" t="s">
        <v>366</v>
      </c>
      <c r="C138" s="8" t="s">
        <v>367</v>
      </c>
      <c r="D138" s="8" t="s">
        <v>201</v>
      </c>
      <c r="E138" s="8" t="s">
        <v>368</v>
      </c>
      <c r="F138" s="9">
        <v>45194</v>
      </c>
      <c r="G138" s="10">
        <f t="shared" ca="1" si="2"/>
        <v>2.1917808219178081</v>
      </c>
    </row>
    <row r="139" spans="1:7" x14ac:dyDescent="0.35">
      <c r="A139" s="8">
        <v>1001</v>
      </c>
      <c r="B139" s="8" t="s">
        <v>369</v>
      </c>
      <c r="C139" s="8" t="s">
        <v>370</v>
      </c>
      <c r="D139" s="8" t="s">
        <v>371</v>
      </c>
      <c r="E139" s="8" t="s">
        <v>372</v>
      </c>
      <c r="F139" s="9">
        <v>39692</v>
      </c>
      <c r="G139" s="10">
        <f t="shared" ca="1" si="2"/>
        <v>17.265753424657536</v>
      </c>
    </row>
    <row r="140" spans="1:7" x14ac:dyDescent="0.35">
      <c r="A140" s="8">
        <v>100092</v>
      </c>
      <c r="B140" s="8" t="s">
        <v>373</v>
      </c>
      <c r="C140" s="8" t="s">
        <v>374</v>
      </c>
      <c r="D140" s="8" t="s">
        <v>371</v>
      </c>
      <c r="E140" s="8" t="s">
        <v>375</v>
      </c>
      <c r="F140" s="9">
        <v>39919</v>
      </c>
      <c r="G140" s="10">
        <f t="shared" ca="1" si="2"/>
        <v>16.643835616438356</v>
      </c>
    </row>
    <row r="141" spans="1:7" x14ac:dyDescent="0.35">
      <c r="A141" s="8">
        <v>101469</v>
      </c>
      <c r="B141" s="8" t="s">
        <v>376</v>
      </c>
      <c r="C141" s="8" t="s">
        <v>377</v>
      </c>
      <c r="D141" s="8" t="s">
        <v>371</v>
      </c>
      <c r="E141" s="8" t="s">
        <v>378</v>
      </c>
      <c r="F141" s="9">
        <v>42325</v>
      </c>
      <c r="G141" s="10">
        <f t="shared" ca="1" si="2"/>
        <v>10.052054794520547</v>
      </c>
    </row>
    <row r="142" spans="1:7" x14ac:dyDescent="0.35">
      <c r="A142" s="8">
        <v>502012</v>
      </c>
      <c r="B142" s="8" t="s">
        <v>379</v>
      </c>
      <c r="C142" s="8" t="s">
        <v>380</v>
      </c>
      <c r="D142" s="8" t="s">
        <v>371</v>
      </c>
      <c r="E142" s="8" t="s">
        <v>381</v>
      </c>
      <c r="F142" s="9">
        <v>45581</v>
      </c>
      <c r="G142" s="10">
        <f t="shared" ca="1" si="2"/>
        <v>1.1315068493150684</v>
      </c>
    </row>
    <row r="143" spans="1:7" x14ac:dyDescent="0.35">
      <c r="A143" s="8">
        <v>101309</v>
      </c>
      <c r="B143" s="8" t="s">
        <v>382</v>
      </c>
      <c r="C143" s="8" t="s">
        <v>383</v>
      </c>
      <c r="D143" s="8" t="s">
        <v>371</v>
      </c>
      <c r="E143" s="8" t="s">
        <v>384</v>
      </c>
      <c r="F143" s="9">
        <v>42100</v>
      </c>
      <c r="G143" s="10">
        <f t="shared" ca="1" si="2"/>
        <v>10.668493150684931</v>
      </c>
    </row>
    <row r="144" spans="1:7" x14ac:dyDescent="0.35">
      <c r="A144" s="5">
        <v>502519</v>
      </c>
      <c r="B144" s="5" t="s">
        <v>385</v>
      </c>
      <c r="C144" s="5" t="s">
        <v>386</v>
      </c>
      <c r="D144" s="5" t="s">
        <v>371</v>
      </c>
      <c r="E144" s="5" t="s">
        <v>387</v>
      </c>
      <c r="F144" s="6">
        <v>45950</v>
      </c>
      <c r="G144" s="7">
        <f t="shared" ca="1" si="2"/>
        <v>0.12054794520547946</v>
      </c>
    </row>
    <row r="145" spans="1:7" x14ac:dyDescent="0.35">
      <c r="A145" s="8">
        <v>501619</v>
      </c>
      <c r="B145" s="8" t="s">
        <v>388</v>
      </c>
      <c r="C145" s="8" t="s">
        <v>389</v>
      </c>
      <c r="D145" s="8" t="s">
        <v>371</v>
      </c>
      <c r="E145" s="8" t="s">
        <v>390</v>
      </c>
      <c r="F145" s="9">
        <v>45096</v>
      </c>
      <c r="G145" s="10">
        <f t="shared" ca="1" si="2"/>
        <v>2.4602739726027396</v>
      </c>
    </row>
    <row r="146" spans="1:7" x14ac:dyDescent="0.35">
      <c r="A146" s="8">
        <v>501606</v>
      </c>
      <c r="B146" s="8" t="s">
        <v>391</v>
      </c>
      <c r="C146" s="8" t="s">
        <v>392</v>
      </c>
      <c r="D146" s="8" t="s">
        <v>371</v>
      </c>
      <c r="E146" s="8" t="s">
        <v>393</v>
      </c>
      <c r="F146" s="9">
        <v>45078</v>
      </c>
      <c r="G146" s="10">
        <f t="shared" ca="1" si="2"/>
        <v>2.5095890410958903</v>
      </c>
    </row>
    <row r="147" spans="1:7" x14ac:dyDescent="0.35">
      <c r="A147" s="8">
        <v>101578</v>
      </c>
      <c r="B147" s="8" t="s">
        <v>394</v>
      </c>
      <c r="C147" s="8" t="s">
        <v>395</v>
      </c>
      <c r="D147" s="8" t="s">
        <v>371</v>
      </c>
      <c r="E147" s="8" t="s">
        <v>396</v>
      </c>
      <c r="F147" s="9">
        <v>42464</v>
      </c>
      <c r="G147" s="10">
        <f t="shared" ca="1" si="2"/>
        <v>9.6712328767123292</v>
      </c>
    </row>
    <row r="148" spans="1:7" x14ac:dyDescent="0.35">
      <c r="A148" s="8">
        <v>500197</v>
      </c>
      <c r="B148" s="8" t="s">
        <v>397</v>
      </c>
      <c r="C148" s="8" t="s">
        <v>398</v>
      </c>
      <c r="D148" s="8" t="s">
        <v>371</v>
      </c>
      <c r="E148" s="8" t="s">
        <v>399</v>
      </c>
      <c r="F148" s="9">
        <v>41701</v>
      </c>
      <c r="G148" s="10">
        <f t="shared" ca="1" si="2"/>
        <v>11.761643835616438</v>
      </c>
    </row>
    <row r="149" spans="1:7" x14ac:dyDescent="0.35">
      <c r="A149" s="8">
        <v>101550</v>
      </c>
      <c r="B149" s="8" t="s">
        <v>400</v>
      </c>
      <c r="C149" s="8" t="s">
        <v>401</v>
      </c>
      <c r="D149" s="8" t="s">
        <v>371</v>
      </c>
      <c r="E149" s="8" t="s">
        <v>402</v>
      </c>
      <c r="F149" s="9">
        <v>42430</v>
      </c>
      <c r="G149" s="10">
        <f t="shared" ca="1" si="2"/>
        <v>9.7643835616438359</v>
      </c>
    </row>
    <row r="150" spans="1:7" x14ac:dyDescent="0.35">
      <c r="A150" s="8">
        <v>500104</v>
      </c>
      <c r="B150" s="8" t="s">
        <v>403</v>
      </c>
      <c r="C150" s="8" t="s">
        <v>374</v>
      </c>
      <c r="D150" s="8" t="s">
        <v>371</v>
      </c>
      <c r="E150" s="8" t="s">
        <v>404</v>
      </c>
      <c r="F150" s="9">
        <v>40771</v>
      </c>
      <c r="G150" s="10">
        <f t="shared" ca="1" si="2"/>
        <v>14.30958904109589</v>
      </c>
    </row>
    <row r="151" spans="1:7" x14ac:dyDescent="0.35">
      <c r="A151" s="8">
        <v>501452</v>
      </c>
      <c r="B151" s="8" t="s">
        <v>405</v>
      </c>
      <c r="C151" s="8" t="s">
        <v>406</v>
      </c>
      <c r="D151" s="8" t="s">
        <v>371</v>
      </c>
      <c r="E151" s="8" t="s">
        <v>407</v>
      </c>
      <c r="F151" s="9">
        <v>44789</v>
      </c>
      <c r="G151" s="10">
        <f t="shared" ca="1" si="2"/>
        <v>3.3013698630136985</v>
      </c>
    </row>
    <row r="152" spans="1:7" x14ac:dyDescent="0.35">
      <c r="A152" s="8">
        <v>100751</v>
      </c>
      <c r="B152" s="8" t="s">
        <v>408</v>
      </c>
      <c r="C152" s="8" t="s">
        <v>409</v>
      </c>
      <c r="D152" s="8" t="s">
        <v>371</v>
      </c>
      <c r="E152" s="8" t="s">
        <v>410</v>
      </c>
      <c r="F152" s="9">
        <v>41198</v>
      </c>
      <c r="G152" s="10">
        <f t="shared" ca="1" si="2"/>
        <v>13.139726027397261</v>
      </c>
    </row>
    <row r="153" spans="1:7" x14ac:dyDescent="0.35">
      <c r="A153" s="8">
        <v>500683</v>
      </c>
      <c r="B153" s="8" t="s">
        <v>411</v>
      </c>
      <c r="C153" s="8" t="s">
        <v>377</v>
      </c>
      <c r="D153" s="8" t="s">
        <v>371</v>
      </c>
      <c r="E153" s="8" t="s">
        <v>412</v>
      </c>
      <c r="F153" s="9">
        <v>43571</v>
      </c>
      <c r="G153" s="10">
        <f t="shared" ca="1" si="2"/>
        <v>6.6383561643835618</v>
      </c>
    </row>
    <row r="154" spans="1:7" x14ac:dyDescent="0.35">
      <c r="A154" s="8">
        <v>501928</v>
      </c>
      <c r="B154" s="8" t="s">
        <v>413</v>
      </c>
      <c r="C154" s="8" t="s">
        <v>414</v>
      </c>
      <c r="D154" s="8" t="s">
        <v>371</v>
      </c>
      <c r="E154" s="8" t="s">
        <v>415</v>
      </c>
      <c r="F154" s="9">
        <v>45509</v>
      </c>
      <c r="G154" s="10">
        <f t="shared" ca="1" si="2"/>
        <v>1.3287671232876712</v>
      </c>
    </row>
    <row r="155" spans="1:7" x14ac:dyDescent="0.35">
      <c r="A155" s="8">
        <v>101269</v>
      </c>
      <c r="B155" s="8" t="s">
        <v>416</v>
      </c>
      <c r="C155" s="8" t="s">
        <v>417</v>
      </c>
      <c r="D155" s="8" t="s">
        <v>371</v>
      </c>
      <c r="E155" s="8" t="s">
        <v>418</v>
      </c>
      <c r="F155" s="9">
        <v>42038</v>
      </c>
      <c r="G155" s="10">
        <f t="shared" ca="1" si="2"/>
        <v>10.838356164383562</v>
      </c>
    </row>
    <row r="156" spans="1:7" x14ac:dyDescent="0.35">
      <c r="A156" s="8">
        <v>101542</v>
      </c>
      <c r="B156" s="8" t="s">
        <v>419</v>
      </c>
      <c r="C156" s="8" t="s">
        <v>420</v>
      </c>
      <c r="D156" s="8" t="s">
        <v>371</v>
      </c>
      <c r="E156" s="8" t="s">
        <v>421</v>
      </c>
      <c r="F156" s="9">
        <v>42416</v>
      </c>
      <c r="G156" s="10">
        <f t="shared" ca="1" si="2"/>
        <v>9.8027397260273972</v>
      </c>
    </row>
    <row r="157" spans="1:7" x14ac:dyDescent="0.35">
      <c r="A157" s="8">
        <v>501214</v>
      </c>
      <c r="B157" s="8" t="s">
        <v>422</v>
      </c>
      <c r="C157" s="8" t="s">
        <v>423</v>
      </c>
      <c r="D157" s="8" t="s">
        <v>371</v>
      </c>
      <c r="E157" s="8" t="s">
        <v>424</v>
      </c>
      <c r="F157" s="9">
        <v>44363</v>
      </c>
      <c r="G157" s="10">
        <f t="shared" ca="1" si="2"/>
        <v>4.4684931506849317</v>
      </c>
    </row>
    <row r="158" spans="1:7" x14ac:dyDescent="0.35">
      <c r="A158" s="8">
        <v>100961</v>
      </c>
      <c r="B158" s="8" t="s">
        <v>425</v>
      </c>
      <c r="C158" s="8" t="s">
        <v>426</v>
      </c>
      <c r="D158" s="8" t="s">
        <v>371</v>
      </c>
      <c r="E158" s="8" t="s">
        <v>427</v>
      </c>
      <c r="F158" s="9">
        <v>41563</v>
      </c>
      <c r="G158" s="10">
        <f t="shared" ca="1" si="2"/>
        <v>12.139726027397261</v>
      </c>
    </row>
    <row r="159" spans="1:7" x14ac:dyDescent="0.35">
      <c r="A159" s="8">
        <v>501667</v>
      </c>
      <c r="B159" s="8" t="s">
        <v>428</v>
      </c>
      <c r="C159" s="8" t="s">
        <v>426</v>
      </c>
      <c r="D159" s="8" t="s">
        <v>371</v>
      </c>
      <c r="E159" s="8" t="s">
        <v>429</v>
      </c>
      <c r="F159" s="9">
        <v>45154</v>
      </c>
      <c r="G159" s="10">
        <f t="shared" ca="1" si="2"/>
        <v>2.3013698630136985</v>
      </c>
    </row>
    <row r="160" spans="1:7" x14ac:dyDescent="0.35">
      <c r="A160" s="8">
        <v>501722</v>
      </c>
      <c r="B160" s="8" t="s">
        <v>430</v>
      </c>
      <c r="C160" s="8" t="s">
        <v>426</v>
      </c>
      <c r="D160" s="8" t="s">
        <v>371</v>
      </c>
      <c r="E160" s="8" t="s">
        <v>431</v>
      </c>
      <c r="F160" s="9">
        <v>45243</v>
      </c>
      <c r="G160" s="10">
        <f t="shared" ca="1" si="2"/>
        <v>2.0575342465753423</v>
      </c>
    </row>
    <row r="161" spans="1:7" x14ac:dyDescent="0.35">
      <c r="A161" s="8">
        <v>1934</v>
      </c>
      <c r="B161" s="8" t="s">
        <v>432</v>
      </c>
      <c r="C161" s="8" t="s">
        <v>426</v>
      </c>
      <c r="D161" s="8" t="s">
        <v>371</v>
      </c>
      <c r="E161" s="8" t="s">
        <v>433</v>
      </c>
      <c r="F161" s="9">
        <v>42996</v>
      </c>
      <c r="G161" s="10">
        <f t="shared" ca="1" si="2"/>
        <v>8.213698630136987</v>
      </c>
    </row>
    <row r="162" spans="1:7" x14ac:dyDescent="0.35">
      <c r="A162" s="8">
        <v>147</v>
      </c>
      <c r="B162" s="8" t="s">
        <v>434</v>
      </c>
      <c r="C162" s="8" t="s">
        <v>420</v>
      </c>
      <c r="D162" s="8" t="s">
        <v>371</v>
      </c>
      <c r="E162" s="8" t="s">
        <v>435</v>
      </c>
      <c r="F162" s="9">
        <v>38299</v>
      </c>
      <c r="G162" s="10">
        <f t="shared" ca="1" si="2"/>
        <v>21.082191780821919</v>
      </c>
    </row>
    <row r="163" spans="1:7" x14ac:dyDescent="0.35">
      <c r="A163" s="8">
        <v>501204</v>
      </c>
      <c r="B163" s="8" t="s">
        <v>436</v>
      </c>
      <c r="C163" s="8" t="s">
        <v>420</v>
      </c>
      <c r="D163" s="8" t="s">
        <v>371</v>
      </c>
      <c r="E163" s="8" t="s">
        <v>437</v>
      </c>
      <c r="F163" s="9">
        <v>44333</v>
      </c>
      <c r="G163" s="10">
        <f t="shared" ca="1" si="2"/>
        <v>4.5506849315068489</v>
      </c>
    </row>
    <row r="164" spans="1:7" x14ac:dyDescent="0.35">
      <c r="A164" s="8">
        <v>500904</v>
      </c>
      <c r="B164" s="8" t="s">
        <v>438</v>
      </c>
      <c r="C164" s="8" t="s">
        <v>420</v>
      </c>
      <c r="D164" s="8" t="s">
        <v>371</v>
      </c>
      <c r="E164" s="8" t="s">
        <v>439</v>
      </c>
      <c r="F164" s="9">
        <v>43892</v>
      </c>
      <c r="G164" s="10">
        <f t="shared" ca="1" si="2"/>
        <v>5.7589041095890412</v>
      </c>
    </row>
    <row r="165" spans="1:7" x14ac:dyDescent="0.35">
      <c r="A165" s="8">
        <v>101531</v>
      </c>
      <c r="B165" s="8" t="s">
        <v>440</v>
      </c>
      <c r="C165" s="8" t="s">
        <v>441</v>
      </c>
      <c r="D165" s="8" t="s">
        <v>371</v>
      </c>
      <c r="E165" s="8" t="s">
        <v>442</v>
      </c>
      <c r="F165" s="9">
        <v>42402</v>
      </c>
      <c r="G165" s="10">
        <f t="shared" ca="1" si="2"/>
        <v>9.8410958904109584</v>
      </c>
    </row>
    <row r="166" spans="1:7" x14ac:dyDescent="0.35">
      <c r="A166" s="8">
        <v>502219</v>
      </c>
      <c r="B166" s="8" t="s">
        <v>443</v>
      </c>
      <c r="C166" s="8" t="s">
        <v>377</v>
      </c>
      <c r="D166" s="8" t="s">
        <v>371</v>
      </c>
      <c r="E166" s="8" t="s">
        <v>444</v>
      </c>
      <c r="F166" s="9">
        <v>45810</v>
      </c>
      <c r="G166" s="10">
        <f t="shared" ca="1" si="2"/>
        <v>0.50410958904109593</v>
      </c>
    </row>
    <row r="167" spans="1:7" x14ac:dyDescent="0.35">
      <c r="A167" s="8">
        <v>100587</v>
      </c>
      <c r="B167" s="8" t="s">
        <v>445</v>
      </c>
      <c r="C167" s="8" t="s">
        <v>446</v>
      </c>
      <c r="D167" s="8" t="s">
        <v>371</v>
      </c>
      <c r="E167" s="8" t="s">
        <v>447</v>
      </c>
      <c r="F167" s="9">
        <v>40821</v>
      </c>
      <c r="G167" s="10">
        <f t="shared" ca="1" si="2"/>
        <v>14.172602739726027</v>
      </c>
    </row>
    <row r="168" spans="1:7" x14ac:dyDescent="0.35">
      <c r="A168" s="8">
        <v>501765</v>
      </c>
      <c r="B168" s="8" t="s">
        <v>448</v>
      </c>
      <c r="C168" s="8" t="s">
        <v>441</v>
      </c>
      <c r="D168" s="8" t="s">
        <v>371</v>
      </c>
      <c r="E168" s="8" t="s">
        <v>449</v>
      </c>
      <c r="F168" s="9">
        <v>45328</v>
      </c>
      <c r="G168" s="10">
        <f t="shared" ca="1" si="2"/>
        <v>1.8246575342465754</v>
      </c>
    </row>
    <row r="169" spans="1:7" x14ac:dyDescent="0.35">
      <c r="A169" s="8">
        <v>501932</v>
      </c>
      <c r="B169" s="8" t="s">
        <v>450</v>
      </c>
      <c r="C169" s="8" t="s">
        <v>377</v>
      </c>
      <c r="D169" s="8" t="s">
        <v>371</v>
      </c>
      <c r="E169" s="8" t="s">
        <v>451</v>
      </c>
      <c r="F169" s="9">
        <v>45509</v>
      </c>
      <c r="G169" s="10">
        <f t="shared" ca="1" si="2"/>
        <v>1.3287671232876712</v>
      </c>
    </row>
    <row r="170" spans="1:7" x14ac:dyDescent="0.35">
      <c r="A170" s="8">
        <v>501879</v>
      </c>
      <c r="B170" s="8" t="s">
        <v>452</v>
      </c>
      <c r="C170" s="8" t="s">
        <v>374</v>
      </c>
      <c r="D170" s="8" t="s">
        <v>371</v>
      </c>
      <c r="E170" s="8" t="s">
        <v>453</v>
      </c>
      <c r="F170" s="9">
        <v>45460</v>
      </c>
      <c r="G170" s="10">
        <f t="shared" ca="1" si="2"/>
        <v>1.463013698630137</v>
      </c>
    </row>
    <row r="171" spans="1:7" x14ac:dyDescent="0.35">
      <c r="A171" s="8">
        <v>500108</v>
      </c>
      <c r="B171" s="8" t="s">
        <v>454</v>
      </c>
      <c r="C171" s="8" t="s">
        <v>455</v>
      </c>
      <c r="D171" s="8" t="s">
        <v>371</v>
      </c>
      <c r="E171" s="8" t="s">
        <v>456</v>
      </c>
      <c r="F171" s="9">
        <v>40771</v>
      </c>
      <c r="G171" s="10">
        <f t="shared" ca="1" si="2"/>
        <v>14.30958904109589</v>
      </c>
    </row>
    <row r="172" spans="1:7" x14ac:dyDescent="0.35">
      <c r="A172" s="8">
        <v>501582</v>
      </c>
      <c r="B172" s="8" t="s">
        <v>457</v>
      </c>
      <c r="C172" s="8" t="s">
        <v>458</v>
      </c>
      <c r="D172" s="8" t="s">
        <v>371</v>
      </c>
      <c r="E172" s="8" t="s">
        <v>459</v>
      </c>
      <c r="F172" s="9">
        <v>45033</v>
      </c>
      <c r="G172" s="10">
        <f t="shared" ca="1" si="2"/>
        <v>2.6328767123287671</v>
      </c>
    </row>
    <row r="173" spans="1:7" x14ac:dyDescent="0.35">
      <c r="A173" s="8">
        <v>100911</v>
      </c>
      <c r="B173" s="8" t="s">
        <v>460</v>
      </c>
      <c r="C173" s="8" t="s">
        <v>409</v>
      </c>
      <c r="D173" s="8" t="s">
        <v>371</v>
      </c>
      <c r="E173" s="8" t="s">
        <v>461</v>
      </c>
      <c r="F173" s="9">
        <v>41456</v>
      </c>
      <c r="G173" s="10">
        <f t="shared" ca="1" si="2"/>
        <v>12.432876712328767</v>
      </c>
    </row>
    <row r="174" spans="1:7" x14ac:dyDescent="0.35">
      <c r="A174" s="8">
        <v>502011</v>
      </c>
      <c r="B174" s="8" t="s">
        <v>462</v>
      </c>
      <c r="C174" s="8" t="s">
        <v>406</v>
      </c>
      <c r="D174" s="8" t="s">
        <v>371</v>
      </c>
      <c r="E174" s="8" t="s">
        <v>463</v>
      </c>
      <c r="F174" s="9">
        <v>45581</v>
      </c>
      <c r="G174" s="10">
        <f t="shared" ca="1" si="2"/>
        <v>1.1315068493150684</v>
      </c>
    </row>
    <row r="175" spans="1:7" x14ac:dyDescent="0.35">
      <c r="A175" s="8">
        <v>1923</v>
      </c>
      <c r="B175" s="8" t="s">
        <v>464</v>
      </c>
      <c r="C175" s="8" t="s">
        <v>446</v>
      </c>
      <c r="D175" s="8" t="s">
        <v>371</v>
      </c>
      <c r="E175" s="8" t="s">
        <v>465</v>
      </c>
      <c r="F175" s="9">
        <v>42982</v>
      </c>
      <c r="G175" s="10">
        <f t="shared" ca="1" si="2"/>
        <v>8.2520547945205482</v>
      </c>
    </row>
    <row r="176" spans="1:7" x14ac:dyDescent="0.35">
      <c r="A176" s="8">
        <v>502017</v>
      </c>
      <c r="B176" s="8" t="s">
        <v>466</v>
      </c>
      <c r="C176" s="8" t="s">
        <v>446</v>
      </c>
      <c r="D176" s="8" t="s">
        <v>371</v>
      </c>
      <c r="E176" s="8" t="s">
        <v>467</v>
      </c>
      <c r="F176" s="9">
        <v>45586</v>
      </c>
      <c r="G176" s="10">
        <f t="shared" ca="1" si="2"/>
        <v>1.1178082191780823</v>
      </c>
    </row>
    <row r="177" spans="1:7" x14ac:dyDescent="0.35">
      <c r="A177" s="8">
        <v>100549</v>
      </c>
      <c r="B177" s="8" t="s">
        <v>468</v>
      </c>
      <c r="C177" s="8" t="s">
        <v>409</v>
      </c>
      <c r="D177" s="8" t="s">
        <v>371</v>
      </c>
      <c r="E177" s="8" t="s">
        <v>469</v>
      </c>
      <c r="F177" s="9">
        <v>40756</v>
      </c>
      <c r="G177" s="10">
        <f t="shared" ca="1" si="2"/>
        <v>14.35068493150685</v>
      </c>
    </row>
    <row r="178" spans="1:7" x14ac:dyDescent="0.35">
      <c r="A178" s="8">
        <v>502281</v>
      </c>
      <c r="B178" s="8" t="s">
        <v>470</v>
      </c>
      <c r="C178" s="8" t="s">
        <v>406</v>
      </c>
      <c r="D178" s="8" t="s">
        <v>371</v>
      </c>
      <c r="E178" s="8" t="s">
        <v>471</v>
      </c>
      <c r="F178" s="9">
        <v>45859</v>
      </c>
      <c r="G178" s="10">
        <f t="shared" ca="1" si="2"/>
        <v>0.36986301369863012</v>
      </c>
    </row>
    <row r="179" spans="1:7" x14ac:dyDescent="0.35">
      <c r="A179" s="8">
        <v>502022</v>
      </c>
      <c r="B179" s="8" t="s">
        <v>472</v>
      </c>
      <c r="C179" s="8" t="s">
        <v>406</v>
      </c>
      <c r="D179" s="8" t="s">
        <v>371</v>
      </c>
      <c r="E179" s="8" t="s">
        <v>473</v>
      </c>
      <c r="F179" s="9">
        <v>45593</v>
      </c>
      <c r="G179" s="10">
        <f t="shared" ca="1" si="2"/>
        <v>1.0986301369863014</v>
      </c>
    </row>
    <row r="180" spans="1:7" x14ac:dyDescent="0.35">
      <c r="A180" s="8">
        <v>500857</v>
      </c>
      <c r="B180" s="8" t="s">
        <v>474</v>
      </c>
      <c r="C180" s="8" t="s">
        <v>446</v>
      </c>
      <c r="D180" s="8" t="s">
        <v>371</v>
      </c>
      <c r="E180" s="8" t="s">
        <v>475</v>
      </c>
      <c r="F180" s="9">
        <v>43801</v>
      </c>
      <c r="G180" s="10">
        <f t="shared" ca="1" si="2"/>
        <v>6.0082191780821921</v>
      </c>
    </row>
    <row r="181" spans="1:7" x14ac:dyDescent="0.35">
      <c r="A181" s="8">
        <v>17</v>
      </c>
      <c r="B181" s="8" t="s">
        <v>476</v>
      </c>
      <c r="C181" s="8" t="s">
        <v>477</v>
      </c>
      <c r="D181" s="8" t="s">
        <v>478</v>
      </c>
      <c r="E181" s="8" t="s">
        <v>479</v>
      </c>
      <c r="F181" s="9">
        <v>31887</v>
      </c>
      <c r="G181" s="10">
        <f t="shared" ca="1" si="2"/>
        <v>38.649315068493152</v>
      </c>
    </row>
    <row r="182" spans="1:7" x14ac:dyDescent="0.35">
      <c r="A182" s="8">
        <v>100332</v>
      </c>
      <c r="B182" s="8" t="s">
        <v>480</v>
      </c>
      <c r="C182" s="8" t="s">
        <v>76</v>
      </c>
      <c r="D182" s="8" t="s">
        <v>478</v>
      </c>
      <c r="E182" s="8" t="s">
        <v>481</v>
      </c>
      <c r="F182" s="9">
        <v>40345</v>
      </c>
      <c r="G182" s="10">
        <f t="shared" ca="1" si="2"/>
        <v>15.476712328767123</v>
      </c>
    </row>
    <row r="183" spans="1:7" x14ac:dyDescent="0.35">
      <c r="A183" s="8">
        <v>1022</v>
      </c>
      <c r="B183" s="8" t="s">
        <v>482</v>
      </c>
      <c r="C183" s="8" t="s">
        <v>483</v>
      </c>
      <c r="D183" s="8" t="s">
        <v>478</v>
      </c>
      <c r="E183" s="8" t="s">
        <v>484</v>
      </c>
      <c r="F183" s="9">
        <v>39708</v>
      </c>
      <c r="G183" s="10">
        <f t="shared" ca="1" si="2"/>
        <v>17.221917808219178</v>
      </c>
    </row>
    <row r="184" spans="1:7" x14ac:dyDescent="0.35">
      <c r="A184" s="8">
        <v>101436</v>
      </c>
      <c r="B184" s="8" t="s">
        <v>485</v>
      </c>
      <c r="C184" s="8" t="s">
        <v>486</v>
      </c>
      <c r="D184" s="8" t="s">
        <v>478</v>
      </c>
      <c r="E184" s="8" t="s">
        <v>487</v>
      </c>
      <c r="F184" s="9">
        <v>42278</v>
      </c>
      <c r="G184" s="10">
        <f t="shared" ca="1" si="2"/>
        <v>10.180821917808219</v>
      </c>
    </row>
    <row r="185" spans="1:7" x14ac:dyDescent="0.35">
      <c r="A185" s="8">
        <v>501670</v>
      </c>
      <c r="B185" s="8" t="s">
        <v>488</v>
      </c>
      <c r="C185" s="8" t="s">
        <v>486</v>
      </c>
      <c r="D185" s="8" t="s">
        <v>478</v>
      </c>
      <c r="E185" s="8" t="s">
        <v>489</v>
      </c>
      <c r="F185" s="9">
        <v>45154</v>
      </c>
      <c r="G185" s="10">
        <f t="shared" ca="1" si="2"/>
        <v>2.3013698630136985</v>
      </c>
    </row>
    <row r="186" spans="1:7" x14ac:dyDescent="0.35">
      <c r="A186" s="8">
        <v>100361</v>
      </c>
      <c r="B186" s="8" t="s">
        <v>490</v>
      </c>
      <c r="C186" s="8" t="s">
        <v>491</v>
      </c>
      <c r="D186" s="8" t="s">
        <v>478</v>
      </c>
      <c r="E186" s="8" t="s">
        <v>492</v>
      </c>
      <c r="F186" s="9">
        <v>40392</v>
      </c>
      <c r="G186" s="10">
        <f t="shared" ca="1" si="2"/>
        <v>15.347945205479451</v>
      </c>
    </row>
    <row r="187" spans="1:7" x14ac:dyDescent="0.35">
      <c r="A187" s="8">
        <v>500920</v>
      </c>
      <c r="B187" s="8" t="s">
        <v>493</v>
      </c>
      <c r="C187" s="8" t="s">
        <v>494</v>
      </c>
      <c r="D187" s="8" t="s">
        <v>478</v>
      </c>
      <c r="E187" s="8" t="s">
        <v>495</v>
      </c>
      <c r="F187" s="9">
        <v>43922</v>
      </c>
      <c r="G187" s="10">
        <f t="shared" ca="1" si="2"/>
        <v>5.6767123287671231</v>
      </c>
    </row>
    <row r="188" spans="1:7" x14ac:dyDescent="0.35">
      <c r="A188" s="8">
        <v>501778</v>
      </c>
      <c r="B188" s="8" t="s">
        <v>496</v>
      </c>
      <c r="C188" s="8" t="s">
        <v>494</v>
      </c>
      <c r="D188" s="8" t="s">
        <v>478</v>
      </c>
      <c r="E188" s="8" t="s">
        <v>497</v>
      </c>
      <c r="F188" s="9">
        <v>45341</v>
      </c>
      <c r="G188" s="10">
        <f t="shared" ca="1" si="2"/>
        <v>1.789041095890411</v>
      </c>
    </row>
    <row r="189" spans="1:7" x14ac:dyDescent="0.35">
      <c r="A189" s="8">
        <v>500763</v>
      </c>
      <c r="B189" s="8" t="s">
        <v>498</v>
      </c>
      <c r="C189" s="8" t="s">
        <v>494</v>
      </c>
      <c r="D189" s="8" t="s">
        <v>478</v>
      </c>
      <c r="E189" s="8" t="s">
        <v>499</v>
      </c>
      <c r="F189" s="9">
        <v>43696</v>
      </c>
      <c r="G189" s="10">
        <f t="shared" ca="1" si="2"/>
        <v>6.2958904109589042</v>
      </c>
    </row>
    <row r="190" spans="1:7" x14ac:dyDescent="0.35">
      <c r="A190" s="8">
        <v>501981</v>
      </c>
      <c r="B190" s="8" t="s">
        <v>500</v>
      </c>
      <c r="C190" s="8" t="s">
        <v>494</v>
      </c>
      <c r="D190" s="8" t="s">
        <v>478</v>
      </c>
      <c r="E190" s="8" t="s">
        <v>501</v>
      </c>
      <c r="F190" s="9">
        <v>45552</v>
      </c>
      <c r="G190" s="10">
        <f t="shared" ca="1" si="2"/>
        <v>1.210958904109589</v>
      </c>
    </row>
    <row r="191" spans="1:7" x14ac:dyDescent="0.35">
      <c r="A191" s="8">
        <v>500994</v>
      </c>
      <c r="B191" s="8" t="s">
        <v>502</v>
      </c>
      <c r="C191" s="8" t="s">
        <v>494</v>
      </c>
      <c r="D191" s="8" t="s">
        <v>478</v>
      </c>
      <c r="E191" s="8" t="s">
        <v>503</v>
      </c>
      <c r="F191" s="9">
        <v>44291</v>
      </c>
      <c r="G191" s="10">
        <f t="shared" ca="1" si="2"/>
        <v>4.6657534246575345</v>
      </c>
    </row>
    <row r="192" spans="1:7" x14ac:dyDescent="0.35">
      <c r="A192" s="8">
        <v>502149</v>
      </c>
      <c r="B192" s="8" t="s">
        <v>504</v>
      </c>
      <c r="C192" s="8" t="s">
        <v>494</v>
      </c>
      <c r="D192" s="8" t="s">
        <v>478</v>
      </c>
      <c r="E192" s="8" t="s">
        <v>505</v>
      </c>
      <c r="F192" s="9">
        <v>45754</v>
      </c>
      <c r="G192" s="10">
        <f t="shared" ca="1" si="2"/>
        <v>0.65753424657534243</v>
      </c>
    </row>
    <row r="193" spans="1:7" x14ac:dyDescent="0.35">
      <c r="A193" s="8">
        <v>1754</v>
      </c>
      <c r="B193" s="8" t="s">
        <v>506</v>
      </c>
      <c r="C193" s="8" t="s">
        <v>507</v>
      </c>
      <c r="D193" s="8" t="s">
        <v>478</v>
      </c>
      <c r="E193" s="8" t="s">
        <v>508</v>
      </c>
      <c r="F193" s="9">
        <v>42810</v>
      </c>
      <c r="G193" s="10">
        <f t="shared" ca="1" si="2"/>
        <v>8.7232876712328764</v>
      </c>
    </row>
    <row r="194" spans="1:7" x14ac:dyDescent="0.35">
      <c r="A194" s="8">
        <v>21</v>
      </c>
      <c r="B194" s="8" t="s">
        <v>509</v>
      </c>
      <c r="C194" s="8" t="s">
        <v>510</v>
      </c>
      <c r="D194" s="8" t="s">
        <v>478</v>
      </c>
      <c r="E194" s="8" t="s">
        <v>511</v>
      </c>
      <c r="F194" s="9">
        <v>31915</v>
      </c>
      <c r="G194" s="10">
        <f t="shared" ca="1" si="2"/>
        <v>38.57260273972603</v>
      </c>
    </row>
    <row r="195" spans="1:7" x14ac:dyDescent="0.35">
      <c r="A195" s="8">
        <v>502333</v>
      </c>
      <c r="B195" s="8" t="s">
        <v>512</v>
      </c>
      <c r="C195" s="8" t="s">
        <v>513</v>
      </c>
      <c r="D195" s="8" t="s">
        <v>478</v>
      </c>
      <c r="E195" s="8" t="s">
        <v>514</v>
      </c>
      <c r="F195" s="9">
        <v>45887</v>
      </c>
      <c r="G195" s="10">
        <f t="shared" ca="1" si="2"/>
        <v>0.29315068493150687</v>
      </c>
    </row>
    <row r="196" spans="1:7" x14ac:dyDescent="0.35">
      <c r="A196" s="8">
        <v>501856</v>
      </c>
      <c r="B196" s="8" t="s">
        <v>515</v>
      </c>
      <c r="C196" s="8" t="s">
        <v>513</v>
      </c>
      <c r="D196" s="8" t="s">
        <v>478</v>
      </c>
      <c r="E196" s="8" t="s">
        <v>516</v>
      </c>
      <c r="F196" s="9">
        <v>45446</v>
      </c>
      <c r="G196" s="10">
        <f t="shared" ca="1" si="2"/>
        <v>1.5013698630136987</v>
      </c>
    </row>
    <row r="197" spans="1:7" x14ac:dyDescent="0.35">
      <c r="A197" s="8">
        <v>501836</v>
      </c>
      <c r="B197" s="8" t="s">
        <v>517</v>
      </c>
      <c r="C197" s="8" t="s">
        <v>518</v>
      </c>
      <c r="D197" s="8" t="s">
        <v>478</v>
      </c>
      <c r="E197" s="8" t="s">
        <v>519</v>
      </c>
      <c r="F197" s="9">
        <v>45414</v>
      </c>
      <c r="G197" s="10">
        <f t="shared" ref="G197:G260" ca="1" si="3">($G$1-F197)/365</f>
        <v>1.5890410958904109</v>
      </c>
    </row>
    <row r="198" spans="1:7" x14ac:dyDescent="0.35">
      <c r="A198" s="8">
        <v>500936</v>
      </c>
      <c r="B198" s="8" t="s">
        <v>520</v>
      </c>
      <c r="C198" s="8" t="s">
        <v>521</v>
      </c>
      <c r="D198" s="8" t="s">
        <v>478</v>
      </c>
      <c r="E198" s="8" t="s">
        <v>522</v>
      </c>
      <c r="F198" s="9">
        <v>44013</v>
      </c>
      <c r="G198" s="10">
        <f t="shared" ca="1" si="3"/>
        <v>5.4273972602739722</v>
      </c>
    </row>
    <row r="199" spans="1:7" x14ac:dyDescent="0.35">
      <c r="A199" s="8">
        <v>297</v>
      </c>
      <c r="B199" s="8" t="s">
        <v>523</v>
      </c>
      <c r="C199" s="8" t="s">
        <v>521</v>
      </c>
      <c r="D199" s="8" t="s">
        <v>478</v>
      </c>
      <c r="E199" s="8" t="s">
        <v>524</v>
      </c>
      <c r="F199" s="9">
        <v>39183</v>
      </c>
      <c r="G199" s="10">
        <f t="shared" ca="1" si="3"/>
        <v>18.660273972602738</v>
      </c>
    </row>
    <row r="200" spans="1:7" x14ac:dyDescent="0.35">
      <c r="A200" s="8">
        <v>500863</v>
      </c>
      <c r="B200" s="8" t="s">
        <v>525</v>
      </c>
      <c r="C200" s="8" t="s">
        <v>521</v>
      </c>
      <c r="D200" s="8" t="s">
        <v>478</v>
      </c>
      <c r="E200" s="8" t="s">
        <v>526</v>
      </c>
      <c r="F200" s="9">
        <v>43801</v>
      </c>
      <c r="G200" s="10">
        <f t="shared" ca="1" si="3"/>
        <v>6.0082191780821921</v>
      </c>
    </row>
    <row r="201" spans="1:7" x14ac:dyDescent="0.35">
      <c r="A201" s="8">
        <v>500278</v>
      </c>
      <c r="B201" s="8" t="s">
        <v>527</v>
      </c>
      <c r="C201" s="8" t="s">
        <v>521</v>
      </c>
      <c r="D201" s="8" t="s">
        <v>478</v>
      </c>
      <c r="E201" s="8" t="s">
        <v>528</v>
      </c>
      <c r="F201" s="9">
        <v>43024</v>
      </c>
      <c r="G201" s="10">
        <f t="shared" ca="1" si="3"/>
        <v>8.1369863013698627</v>
      </c>
    </row>
    <row r="202" spans="1:7" x14ac:dyDescent="0.35">
      <c r="A202" s="8">
        <v>61</v>
      </c>
      <c r="B202" s="8" t="s">
        <v>529</v>
      </c>
      <c r="C202" s="8" t="s">
        <v>530</v>
      </c>
      <c r="D202" s="8" t="s">
        <v>478</v>
      </c>
      <c r="E202" s="8" t="s">
        <v>531</v>
      </c>
      <c r="F202" s="9">
        <v>35034</v>
      </c>
      <c r="G202" s="10">
        <f t="shared" ca="1" si="3"/>
        <v>30.027397260273972</v>
      </c>
    </row>
    <row r="203" spans="1:7" x14ac:dyDescent="0.35">
      <c r="A203" s="5">
        <v>502485</v>
      </c>
      <c r="B203" s="5" t="s">
        <v>532</v>
      </c>
      <c r="C203" s="5" t="s">
        <v>533</v>
      </c>
      <c r="D203" s="5" t="s">
        <v>478</v>
      </c>
      <c r="E203" s="5" t="s">
        <v>534</v>
      </c>
      <c r="F203" s="6">
        <v>45922</v>
      </c>
      <c r="G203" s="7">
        <f t="shared" ca="1" si="3"/>
        <v>0.19726027397260273</v>
      </c>
    </row>
    <row r="204" spans="1:7" x14ac:dyDescent="0.35">
      <c r="A204" s="8">
        <v>100624</v>
      </c>
      <c r="B204" s="8" t="s">
        <v>535</v>
      </c>
      <c r="C204" s="8" t="s">
        <v>536</v>
      </c>
      <c r="D204" s="8" t="s">
        <v>478</v>
      </c>
      <c r="E204" s="8" t="s">
        <v>537</v>
      </c>
      <c r="F204" s="9">
        <v>40863</v>
      </c>
      <c r="G204" s="10">
        <f t="shared" ca="1" si="3"/>
        <v>14.057534246575342</v>
      </c>
    </row>
    <row r="205" spans="1:7" x14ac:dyDescent="0.35">
      <c r="A205" s="8">
        <v>501709</v>
      </c>
      <c r="B205" s="8" t="s">
        <v>538</v>
      </c>
      <c r="C205" s="8" t="s">
        <v>539</v>
      </c>
      <c r="D205" s="8" t="s">
        <v>478</v>
      </c>
      <c r="E205" s="8" t="s">
        <v>540</v>
      </c>
      <c r="F205" s="9">
        <v>45236</v>
      </c>
      <c r="G205" s="10">
        <f t="shared" ca="1" si="3"/>
        <v>2.0767123287671234</v>
      </c>
    </row>
    <row r="206" spans="1:7" x14ac:dyDescent="0.35">
      <c r="A206" s="8">
        <v>501809</v>
      </c>
      <c r="B206" s="8" t="s">
        <v>541</v>
      </c>
      <c r="C206" s="8" t="s">
        <v>542</v>
      </c>
      <c r="D206" s="8" t="s">
        <v>478</v>
      </c>
      <c r="E206" s="8" t="s">
        <v>543</v>
      </c>
      <c r="F206" s="9">
        <v>45383</v>
      </c>
      <c r="G206" s="10">
        <f t="shared" ca="1" si="3"/>
        <v>1.6739726027397259</v>
      </c>
    </row>
    <row r="207" spans="1:7" x14ac:dyDescent="0.35">
      <c r="A207" s="8">
        <v>1807</v>
      </c>
      <c r="B207" s="8" t="s">
        <v>544</v>
      </c>
      <c r="C207" s="8" t="s">
        <v>545</v>
      </c>
      <c r="D207" s="8" t="s">
        <v>478</v>
      </c>
      <c r="E207" s="8" t="s">
        <v>546</v>
      </c>
      <c r="F207" s="9">
        <v>42857</v>
      </c>
      <c r="G207" s="10">
        <f t="shared" ca="1" si="3"/>
        <v>8.5945205479452049</v>
      </c>
    </row>
    <row r="208" spans="1:7" x14ac:dyDescent="0.35">
      <c r="A208" s="8">
        <v>502173</v>
      </c>
      <c r="B208" s="8" t="s">
        <v>547</v>
      </c>
      <c r="C208" s="8" t="s">
        <v>548</v>
      </c>
      <c r="D208" s="8" t="s">
        <v>478</v>
      </c>
      <c r="E208" s="8" t="s">
        <v>549</v>
      </c>
      <c r="F208" s="9">
        <v>45768</v>
      </c>
      <c r="G208" s="10">
        <f t="shared" ca="1" si="3"/>
        <v>0.61917808219178083</v>
      </c>
    </row>
    <row r="209" spans="1:7" x14ac:dyDescent="0.35">
      <c r="A209" s="8">
        <v>502164</v>
      </c>
      <c r="B209" s="8" t="s">
        <v>550</v>
      </c>
      <c r="C209" s="8" t="s">
        <v>551</v>
      </c>
      <c r="D209" s="8" t="s">
        <v>478</v>
      </c>
      <c r="E209" s="8" t="s">
        <v>552</v>
      </c>
      <c r="F209" s="9">
        <v>45782</v>
      </c>
      <c r="G209" s="10">
        <f t="shared" ca="1" si="3"/>
        <v>0.58082191780821912</v>
      </c>
    </row>
    <row r="210" spans="1:7" x14ac:dyDescent="0.35">
      <c r="A210" s="8">
        <v>221</v>
      </c>
      <c r="B210" s="8" t="s">
        <v>553</v>
      </c>
      <c r="C210" s="8" t="s">
        <v>548</v>
      </c>
      <c r="D210" s="8" t="s">
        <v>478</v>
      </c>
      <c r="E210" s="8" t="s">
        <v>554</v>
      </c>
      <c r="F210" s="9">
        <v>39069</v>
      </c>
      <c r="G210" s="10">
        <f t="shared" ca="1" si="3"/>
        <v>18.972602739726028</v>
      </c>
    </row>
    <row r="211" spans="1:7" x14ac:dyDescent="0.35">
      <c r="A211" s="8">
        <v>395</v>
      </c>
      <c r="B211" s="8" t="s">
        <v>555</v>
      </c>
      <c r="C211" s="8" t="s">
        <v>556</v>
      </c>
      <c r="D211" s="8" t="s">
        <v>478</v>
      </c>
      <c r="E211" s="8" t="s">
        <v>557</v>
      </c>
      <c r="F211" s="9">
        <v>41122</v>
      </c>
      <c r="G211" s="10">
        <f t="shared" ca="1" si="3"/>
        <v>13.347945205479451</v>
      </c>
    </row>
    <row r="212" spans="1:7" x14ac:dyDescent="0.35">
      <c r="A212" s="8">
        <v>502049</v>
      </c>
      <c r="B212" s="8" t="s">
        <v>558</v>
      </c>
      <c r="C212" s="8" t="s">
        <v>559</v>
      </c>
      <c r="D212" s="8" t="s">
        <v>478</v>
      </c>
      <c r="E212" s="8" t="s">
        <v>560</v>
      </c>
      <c r="F212" s="9">
        <v>45615</v>
      </c>
      <c r="G212" s="10">
        <f t="shared" ca="1" si="3"/>
        <v>1.0383561643835617</v>
      </c>
    </row>
    <row r="213" spans="1:7" x14ac:dyDescent="0.35">
      <c r="A213" s="8">
        <v>502024</v>
      </c>
      <c r="B213" s="8" t="s">
        <v>561</v>
      </c>
      <c r="C213" s="8" t="s">
        <v>559</v>
      </c>
      <c r="D213" s="8" t="s">
        <v>478</v>
      </c>
      <c r="E213" s="8" t="s">
        <v>562</v>
      </c>
      <c r="F213" s="9">
        <v>45593</v>
      </c>
      <c r="G213" s="10">
        <f t="shared" ca="1" si="3"/>
        <v>1.0986301369863014</v>
      </c>
    </row>
    <row r="214" spans="1:7" x14ac:dyDescent="0.35">
      <c r="A214" s="8">
        <v>502147</v>
      </c>
      <c r="B214" s="8" t="s">
        <v>563</v>
      </c>
      <c r="C214" s="8" t="s">
        <v>564</v>
      </c>
      <c r="D214" s="8" t="s">
        <v>478</v>
      </c>
      <c r="E214" s="8" t="s">
        <v>565</v>
      </c>
      <c r="F214" s="9">
        <v>45754</v>
      </c>
      <c r="G214" s="10">
        <f t="shared" ca="1" si="3"/>
        <v>0.65753424657534243</v>
      </c>
    </row>
    <row r="215" spans="1:7" x14ac:dyDescent="0.35">
      <c r="A215" s="8">
        <v>502148</v>
      </c>
      <c r="B215" s="8" t="s">
        <v>566</v>
      </c>
      <c r="C215" s="8" t="s">
        <v>564</v>
      </c>
      <c r="D215" s="8" t="s">
        <v>478</v>
      </c>
      <c r="E215" s="8" t="s">
        <v>567</v>
      </c>
      <c r="F215" s="9">
        <v>45754</v>
      </c>
      <c r="G215" s="10">
        <f t="shared" ca="1" si="3"/>
        <v>0.65753424657534243</v>
      </c>
    </row>
    <row r="216" spans="1:7" x14ac:dyDescent="0.35">
      <c r="A216" s="8">
        <v>19</v>
      </c>
      <c r="B216" s="8" t="s">
        <v>568</v>
      </c>
      <c r="C216" s="8" t="s">
        <v>569</v>
      </c>
      <c r="D216" s="8" t="s">
        <v>478</v>
      </c>
      <c r="E216" s="8" t="s">
        <v>570</v>
      </c>
      <c r="F216" s="9">
        <v>31905</v>
      </c>
      <c r="G216" s="10">
        <f t="shared" ca="1" si="3"/>
        <v>38.6</v>
      </c>
    </row>
    <row r="217" spans="1:7" x14ac:dyDescent="0.35">
      <c r="A217" s="8">
        <v>834</v>
      </c>
      <c r="B217" s="8" t="s">
        <v>571</v>
      </c>
      <c r="C217" s="8" t="s">
        <v>572</v>
      </c>
      <c r="D217" s="8" t="s">
        <v>478</v>
      </c>
      <c r="E217" s="8" t="s">
        <v>573</v>
      </c>
      <c r="F217" s="9">
        <v>39508</v>
      </c>
      <c r="G217" s="10">
        <f t="shared" ca="1" si="3"/>
        <v>17.769863013698629</v>
      </c>
    </row>
    <row r="218" spans="1:7" x14ac:dyDescent="0.35">
      <c r="A218" s="8">
        <v>502204</v>
      </c>
      <c r="B218" s="8" t="s">
        <v>574</v>
      </c>
      <c r="C218" s="8" t="s">
        <v>575</v>
      </c>
      <c r="D218" s="8" t="s">
        <v>478</v>
      </c>
      <c r="E218" s="8" t="s">
        <v>576</v>
      </c>
      <c r="F218" s="9">
        <v>45790</v>
      </c>
      <c r="G218" s="10">
        <f t="shared" ca="1" si="3"/>
        <v>0.55890410958904113</v>
      </c>
    </row>
    <row r="219" spans="1:7" x14ac:dyDescent="0.35">
      <c r="A219" s="8">
        <v>501857</v>
      </c>
      <c r="B219" s="8" t="s">
        <v>577</v>
      </c>
      <c r="C219" s="8" t="s">
        <v>572</v>
      </c>
      <c r="D219" s="8" t="s">
        <v>478</v>
      </c>
      <c r="E219" s="8" t="s">
        <v>578</v>
      </c>
      <c r="F219" s="9">
        <v>45446</v>
      </c>
      <c r="G219" s="10">
        <f t="shared" ca="1" si="3"/>
        <v>1.5013698630136987</v>
      </c>
    </row>
    <row r="220" spans="1:7" x14ac:dyDescent="0.35">
      <c r="A220" s="8">
        <v>501769</v>
      </c>
      <c r="B220" s="8" t="s">
        <v>579</v>
      </c>
      <c r="C220" s="8" t="s">
        <v>580</v>
      </c>
      <c r="D220" s="8" t="s">
        <v>478</v>
      </c>
      <c r="E220" s="8" t="s">
        <v>581</v>
      </c>
      <c r="F220" s="9">
        <v>45328</v>
      </c>
      <c r="G220" s="10">
        <f t="shared" ca="1" si="3"/>
        <v>1.8246575342465754</v>
      </c>
    </row>
    <row r="221" spans="1:7" x14ac:dyDescent="0.35">
      <c r="A221" s="8">
        <v>501297</v>
      </c>
      <c r="B221" s="8" t="s">
        <v>582</v>
      </c>
      <c r="C221" s="8" t="s">
        <v>583</v>
      </c>
      <c r="D221" s="8" t="s">
        <v>478</v>
      </c>
      <c r="E221" s="8" t="s">
        <v>584</v>
      </c>
      <c r="F221" s="9">
        <v>45278</v>
      </c>
      <c r="G221" s="10">
        <f t="shared" ca="1" si="3"/>
        <v>1.9616438356164383</v>
      </c>
    </row>
    <row r="222" spans="1:7" x14ac:dyDescent="0.35">
      <c r="A222" s="8">
        <v>502060</v>
      </c>
      <c r="B222" s="8" t="s">
        <v>585</v>
      </c>
      <c r="C222" s="8" t="s">
        <v>586</v>
      </c>
      <c r="D222" s="8" t="s">
        <v>478</v>
      </c>
      <c r="E222" s="8" t="s">
        <v>587</v>
      </c>
      <c r="F222" s="9">
        <v>45628</v>
      </c>
      <c r="G222" s="10">
        <f t="shared" ca="1" si="3"/>
        <v>1.0027397260273974</v>
      </c>
    </row>
    <row r="223" spans="1:7" x14ac:dyDescent="0.35">
      <c r="A223" s="8">
        <v>37</v>
      </c>
      <c r="B223" s="8" t="s">
        <v>588</v>
      </c>
      <c r="C223" s="8" t="s">
        <v>572</v>
      </c>
      <c r="D223" s="8" t="s">
        <v>478</v>
      </c>
      <c r="E223" s="8" t="s">
        <v>589</v>
      </c>
      <c r="F223" s="9">
        <v>32782</v>
      </c>
      <c r="G223" s="10">
        <f t="shared" ca="1" si="3"/>
        <v>36.197260273972603</v>
      </c>
    </row>
    <row r="224" spans="1:7" x14ac:dyDescent="0.35">
      <c r="A224" s="8">
        <v>370</v>
      </c>
      <c r="B224" s="8" t="s">
        <v>590</v>
      </c>
      <c r="C224" s="8" t="s">
        <v>591</v>
      </c>
      <c r="D224" s="8" t="s">
        <v>478</v>
      </c>
      <c r="E224" s="8" t="s">
        <v>592</v>
      </c>
      <c r="F224" s="9">
        <v>39265</v>
      </c>
      <c r="G224" s="10">
        <f t="shared" ca="1" si="3"/>
        <v>18.435616438356163</v>
      </c>
    </row>
    <row r="225" spans="1:7" x14ac:dyDescent="0.35">
      <c r="A225" s="8">
        <v>500224</v>
      </c>
      <c r="B225" s="8" t="s">
        <v>593</v>
      </c>
      <c r="C225" s="8" t="s">
        <v>580</v>
      </c>
      <c r="D225" s="8" t="s">
        <v>478</v>
      </c>
      <c r="E225" s="8" t="s">
        <v>594</v>
      </c>
      <c r="F225" s="9">
        <v>42156</v>
      </c>
      <c r="G225" s="10">
        <f t="shared" ca="1" si="3"/>
        <v>10.515068493150684</v>
      </c>
    </row>
    <row r="226" spans="1:7" x14ac:dyDescent="0.35">
      <c r="A226" s="8">
        <v>501284</v>
      </c>
      <c r="B226" s="8" t="s">
        <v>595</v>
      </c>
      <c r="C226" s="8" t="s">
        <v>580</v>
      </c>
      <c r="D226" s="8" t="s">
        <v>478</v>
      </c>
      <c r="E226" s="8" t="s">
        <v>596</v>
      </c>
      <c r="F226" s="9">
        <v>44531</v>
      </c>
      <c r="G226" s="10">
        <f t="shared" ca="1" si="3"/>
        <v>4.0082191780821921</v>
      </c>
    </row>
    <row r="227" spans="1:7" x14ac:dyDescent="0.35">
      <c r="A227" s="8">
        <v>500661</v>
      </c>
      <c r="B227" s="8" t="s">
        <v>597</v>
      </c>
      <c r="C227" s="8" t="s">
        <v>598</v>
      </c>
      <c r="D227" s="8" t="s">
        <v>478</v>
      </c>
      <c r="E227" s="8" t="s">
        <v>599</v>
      </c>
      <c r="F227" s="9">
        <v>44809</v>
      </c>
      <c r="G227" s="10">
        <f t="shared" ca="1" si="3"/>
        <v>3.2465753424657535</v>
      </c>
    </row>
    <row r="228" spans="1:7" x14ac:dyDescent="0.35">
      <c r="A228" s="8">
        <v>502057</v>
      </c>
      <c r="B228" s="8" t="s">
        <v>600</v>
      </c>
      <c r="C228" s="8" t="s">
        <v>601</v>
      </c>
      <c r="D228" s="8" t="s">
        <v>478</v>
      </c>
      <c r="E228" s="8" t="s">
        <v>602</v>
      </c>
      <c r="F228" s="9">
        <v>45628</v>
      </c>
      <c r="G228" s="10">
        <f t="shared" ca="1" si="3"/>
        <v>1.0027397260273974</v>
      </c>
    </row>
    <row r="229" spans="1:7" x14ac:dyDescent="0.35">
      <c r="A229" s="8">
        <v>501366</v>
      </c>
      <c r="B229" s="8" t="s">
        <v>603</v>
      </c>
      <c r="C229" s="8" t="s">
        <v>580</v>
      </c>
      <c r="D229" s="8" t="s">
        <v>478</v>
      </c>
      <c r="E229" s="8" t="s">
        <v>604</v>
      </c>
      <c r="F229" s="9">
        <v>44683</v>
      </c>
      <c r="G229" s="10">
        <f t="shared" ca="1" si="3"/>
        <v>3.591780821917808</v>
      </c>
    </row>
    <row r="230" spans="1:7" x14ac:dyDescent="0.35">
      <c r="A230" s="8">
        <v>502233</v>
      </c>
      <c r="B230" s="8" t="s">
        <v>605</v>
      </c>
      <c r="C230" s="8" t="s">
        <v>572</v>
      </c>
      <c r="D230" s="8" t="s">
        <v>478</v>
      </c>
      <c r="E230" s="8" t="s">
        <v>606</v>
      </c>
      <c r="F230" s="9">
        <v>45810</v>
      </c>
      <c r="G230" s="10">
        <f t="shared" ca="1" si="3"/>
        <v>0.50410958904109593</v>
      </c>
    </row>
    <row r="231" spans="1:7" x14ac:dyDescent="0.35">
      <c r="A231" s="8">
        <v>501703</v>
      </c>
      <c r="B231" s="8" t="s">
        <v>607</v>
      </c>
      <c r="C231" s="8" t="s">
        <v>580</v>
      </c>
      <c r="D231" s="8" t="s">
        <v>478</v>
      </c>
      <c r="E231" s="8" t="s">
        <v>608</v>
      </c>
      <c r="F231" s="9">
        <v>45215</v>
      </c>
      <c r="G231" s="10">
        <f t="shared" ca="1" si="3"/>
        <v>2.1342465753424658</v>
      </c>
    </row>
    <row r="232" spans="1:7" x14ac:dyDescent="0.35">
      <c r="A232" s="5">
        <v>502502</v>
      </c>
      <c r="B232" s="5" t="s">
        <v>609</v>
      </c>
      <c r="C232" s="5" t="s">
        <v>610</v>
      </c>
      <c r="D232" s="5" t="s">
        <v>478</v>
      </c>
      <c r="E232" s="5" t="s">
        <v>611</v>
      </c>
      <c r="F232" s="6">
        <v>45931</v>
      </c>
      <c r="G232" s="7">
        <f t="shared" ca="1" si="3"/>
        <v>0.17260273972602741</v>
      </c>
    </row>
    <row r="233" spans="1:7" x14ac:dyDescent="0.35">
      <c r="A233" s="8">
        <v>347</v>
      </c>
      <c r="B233" s="8" t="s">
        <v>612</v>
      </c>
      <c r="C233" s="8" t="s">
        <v>513</v>
      </c>
      <c r="D233" s="8" t="s">
        <v>478</v>
      </c>
      <c r="E233" s="8" t="s">
        <v>613</v>
      </c>
      <c r="F233" s="9">
        <v>39230</v>
      </c>
      <c r="G233" s="10">
        <f t="shared" ca="1" si="3"/>
        <v>18.531506849315068</v>
      </c>
    </row>
    <row r="234" spans="1:7" x14ac:dyDescent="0.35">
      <c r="A234" s="8">
        <v>501438</v>
      </c>
      <c r="B234" s="8" t="s">
        <v>614</v>
      </c>
      <c r="C234" s="8" t="s">
        <v>615</v>
      </c>
      <c r="D234" s="8" t="s">
        <v>478</v>
      </c>
      <c r="E234" s="8" t="s">
        <v>616</v>
      </c>
      <c r="F234" s="9">
        <v>44760</v>
      </c>
      <c r="G234" s="10">
        <f t="shared" ca="1" si="3"/>
        <v>3.3808219178082193</v>
      </c>
    </row>
    <row r="235" spans="1:7" x14ac:dyDescent="0.35">
      <c r="A235" s="8">
        <v>93</v>
      </c>
      <c r="B235" s="8" t="s">
        <v>617</v>
      </c>
      <c r="C235" s="8" t="s">
        <v>618</v>
      </c>
      <c r="D235" s="8" t="s">
        <v>478</v>
      </c>
      <c r="E235" s="8" t="s">
        <v>619</v>
      </c>
      <c r="F235" s="9">
        <v>36669</v>
      </c>
      <c r="G235" s="10">
        <f t="shared" ca="1" si="3"/>
        <v>25.547945205479451</v>
      </c>
    </row>
    <row r="236" spans="1:7" x14ac:dyDescent="0.35">
      <c r="A236" s="8">
        <v>1585</v>
      </c>
      <c r="B236" s="8" t="s">
        <v>620</v>
      </c>
      <c r="C236" s="8" t="s">
        <v>621</v>
      </c>
      <c r="D236" s="8" t="s">
        <v>478</v>
      </c>
      <c r="E236" s="8" t="s">
        <v>622</v>
      </c>
      <c r="F236" s="9">
        <v>42201</v>
      </c>
      <c r="G236" s="10">
        <f t="shared" ca="1" si="3"/>
        <v>10.391780821917807</v>
      </c>
    </row>
    <row r="237" spans="1:7" x14ac:dyDescent="0.35">
      <c r="A237" s="8">
        <v>444</v>
      </c>
      <c r="B237" s="8" t="s">
        <v>623</v>
      </c>
      <c r="C237" s="8" t="s">
        <v>624</v>
      </c>
      <c r="D237" s="8" t="s">
        <v>478</v>
      </c>
      <c r="E237" s="8" t="s">
        <v>625</v>
      </c>
      <c r="F237" s="9">
        <v>39370</v>
      </c>
      <c r="G237" s="10">
        <f t="shared" ca="1" si="3"/>
        <v>18.147945205479452</v>
      </c>
    </row>
    <row r="238" spans="1:7" x14ac:dyDescent="0.35">
      <c r="A238" s="8">
        <v>266</v>
      </c>
      <c r="B238" s="8" t="s">
        <v>626</v>
      </c>
      <c r="C238" s="8" t="s">
        <v>627</v>
      </c>
      <c r="D238" s="8" t="s">
        <v>478</v>
      </c>
      <c r="E238" s="8" t="s">
        <v>628</v>
      </c>
      <c r="F238" s="9">
        <v>39135</v>
      </c>
      <c r="G238" s="10">
        <f t="shared" ca="1" si="3"/>
        <v>18.791780821917808</v>
      </c>
    </row>
    <row r="239" spans="1:7" x14ac:dyDescent="0.35">
      <c r="A239" s="8">
        <v>1480</v>
      </c>
      <c r="B239" s="8" t="s">
        <v>629</v>
      </c>
      <c r="C239" s="8" t="s">
        <v>630</v>
      </c>
      <c r="D239" s="8" t="s">
        <v>478</v>
      </c>
      <c r="E239" s="8" t="s">
        <v>14</v>
      </c>
      <c r="F239" s="9">
        <v>41701</v>
      </c>
      <c r="G239" s="10">
        <f t="shared" ca="1" si="3"/>
        <v>11.761643835616438</v>
      </c>
    </row>
    <row r="240" spans="1:7" x14ac:dyDescent="0.35">
      <c r="A240" s="8">
        <v>1456</v>
      </c>
      <c r="B240" s="8" t="s">
        <v>631</v>
      </c>
      <c r="C240" s="8" t="s">
        <v>630</v>
      </c>
      <c r="D240" s="8" t="s">
        <v>478</v>
      </c>
      <c r="E240" s="8" t="s">
        <v>14</v>
      </c>
      <c r="F240" s="9">
        <v>41380</v>
      </c>
      <c r="G240" s="10">
        <f t="shared" ca="1" si="3"/>
        <v>12.641095890410959</v>
      </c>
    </row>
    <row r="241" spans="1:7" x14ac:dyDescent="0.35">
      <c r="A241" s="8">
        <v>1576</v>
      </c>
      <c r="B241" s="8" t="s">
        <v>632</v>
      </c>
      <c r="C241" s="8" t="s">
        <v>630</v>
      </c>
      <c r="D241" s="8" t="s">
        <v>478</v>
      </c>
      <c r="E241" s="8" t="s">
        <v>14</v>
      </c>
      <c r="F241" s="9">
        <v>42156</v>
      </c>
      <c r="G241" s="10">
        <f t="shared" ca="1" si="3"/>
        <v>10.515068493150684</v>
      </c>
    </row>
    <row r="242" spans="1:7" x14ac:dyDescent="0.35">
      <c r="A242" s="8">
        <v>1457</v>
      </c>
      <c r="B242" s="8" t="s">
        <v>633</v>
      </c>
      <c r="C242" s="8" t="s">
        <v>634</v>
      </c>
      <c r="D242" s="8" t="s">
        <v>478</v>
      </c>
      <c r="E242" s="8" t="s">
        <v>635</v>
      </c>
      <c r="F242" s="9">
        <v>41380</v>
      </c>
      <c r="G242" s="10">
        <f t="shared" ca="1" si="3"/>
        <v>12.641095890410959</v>
      </c>
    </row>
    <row r="243" spans="1:7" x14ac:dyDescent="0.35">
      <c r="A243" s="8">
        <v>500986</v>
      </c>
      <c r="B243" s="8" t="s">
        <v>636</v>
      </c>
      <c r="C243" s="8" t="s">
        <v>637</v>
      </c>
      <c r="D243" s="8" t="s">
        <v>478</v>
      </c>
      <c r="E243" s="8" t="s">
        <v>638</v>
      </c>
      <c r="F243" s="9">
        <v>44271</v>
      </c>
      <c r="G243" s="10">
        <f t="shared" ca="1" si="3"/>
        <v>4.720547945205479</v>
      </c>
    </row>
    <row r="244" spans="1:7" x14ac:dyDescent="0.35">
      <c r="A244" s="8">
        <v>1385</v>
      </c>
      <c r="B244" s="8" t="s">
        <v>639</v>
      </c>
      <c r="C244" s="8" t="s">
        <v>640</v>
      </c>
      <c r="D244" s="8" t="s">
        <v>478</v>
      </c>
      <c r="E244" s="8" t="s">
        <v>14</v>
      </c>
      <c r="F244" s="9">
        <v>40787</v>
      </c>
      <c r="G244" s="10">
        <f t="shared" ca="1" si="3"/>
        <v>14.265753424657534</v>
      </c>
    </row>
    <row r="245" spans="1:7" x14ac:dyDescent="0.35">
      <c r="A245" s="8">
        <v>502039</v>
      </c>
      <c r="B245" s="8" t="s">
        <v>641</v>
      </c>
      <c r="C245" s="8" t="s">
        <v>640</v>
      </c>
      <c r="D245" s="8" t="s">
        <v>478</v>
      </c>
      <c r="E245" s="8" t="s">
        <v>642</v>
      </c>
      <c r="F245" s="9">
        <v>45607</v>
      </c>
      <c r="G245" s="10">
        <f t="shared" ca="1" si="3"/>
        <v>1.0602739726027397</v>
      </c>
    </row>
    <row r="246" spans="1:7" x14ac:dyDescent="0.35">
      <c r="A246" s="8">
        <v>500632</v>
      </c>
      <c r="B246" s="8" t="s">
        <v>643</v>
      </c>
      <c r="C246" s="8" t="s">
        <v>644</v>
      </c>
      <c r="D246" s="8" t="s">
        <v>478</v>
      </c>
      <c r="E246" s="8" t="s">
        <v>645</v>
      </c>
      <c r="F246" s="9">
        <v>43514</v>
      </c>
      <c r="G246" s="10">
        <f t="shared" ca="1" si="3"/>
        <v>6.7945205479452051</v>
      </c>
    </row>
    <row r="247" spans="1:7" x14ac:dyDescent="0.35">
      <c r="A247" s="8">
        <v>31</v>
      </c>
      <c r="B247" s="8" t="s">
        <v>646</v>
      </c>
      <c r="C247" s="8" t="s">
        <v>647</v>
      </c>
      <c r="D247" s="8" t="s">
        <v>478</v>
      </c>
      <c r="E247" s="8" t="s">
        <v>648</v>
      </c>
      <c r="F247" s="9">
        <v>32387</v>
      </c>
      <c r="G247" s="10">
        <f t="shared" ca="1" si="3"/>
        <v>37.279452054794518</v>
      </c>
    </row>
    <row r="248" spans="1:7" x14ac:dyDescent="0.35">
      <c r="A248" s="8">
        <v>501636</v>
      </c>
      <c r="B248" s="8" t="s">
        <v>649</v>
      </c>
      <c r="C248" s="8" t="s">
        <v>650</v>
      </c>
      <c r="D248" s="8" t="s">
        <v>478</v>
      </c>
      <c r="E248" s="8" t="s">
        <v>651</v>
      </c>
      <c r="F248" s="9">
        <v>45124</v>
      </c>
      <c r="G248" s="10">
        <f t="shared" ca="1" si="3"/>
        <v>2.3835616438356166</v>
      </c>
    </row>
    <row r="249" spans="1:7" x14ac:dyDescent="0.35">
      <c r="A249" s="8">
        <v>101321</v>
      </c>
      <c r="B249" s="8" t="s">
        <v>652</v>
      </c>
      <c r="C249" s="8" t="s">
        <v>653</v>
      </c>
      <c r="D249" s="8" t="s">
        <v>478</v>
      </c>
      <c r="E249" s="8" t="s">
        <v>654</v>
      </c>
      <c r="F249" s="9">
        <v>42110</v>
      </c>
      <c r="G249" s="10">
        <f t="shared" ca="1" si="3"/>
        <v>10.641095890410959</v>
      </c>
    </row>
    <row r="250" spans="1:7" x14ac:dyDescent="0.35">
      <c r="A250" s="8">
        <v>502262</v>
      </c>
      <c r="B250" s="8" t="s">
        <v>655</v>
      </c>
      <c r="C250" s="8" t="s">
        <v>656</v>
      </c>
      <c r="D250" s="8" t="s">
        <v>478</v>
      </c>
      <c r="E250" s="8" t="s">
        <v>657</v>
      </c>
      <c r="F250" s="9">
        <v>45845</v>
      </c>
      <c r="G250" s="10">
        <f t="shared" ca="1" si="3"/>
        <v>0.40821917808219177</v>
      </c>
    </row>
    <row r="251" spans="1:7" x14ac:dyDescent="0.35">
      <c r="A251" s="8">
        <v>101455</v>
      </c>
      <c r="B251" s="8" t="s">
        <v>658</v>
      </c>
      <c r="C251" s="8" t="s">
        <v>659</v>
      </c>
      <c r="D251" s="8" t="s">
        <v>478</v>
      </c>
      <c r="E251" s="8" t="s">
        <v>660</v>
      </c>
      <c r="F251" s="9">
        <v>44713</v>
      </c>
      <c r="G251" s="10">
        <f t="shared" ca="1" si="3"/>
        <v>3.5095890410958903</v>
      </c>
    </row>
    <row r="252" spans="1:7" x14ac:dyDescent="0.35">
      <c r="A252" s="8">
        <v>502197</v>
      </c>
      <c r="B252" s="8" t="s">
        <v>661</v>
      </c>
      <c r="C252" s="8" t="s">
        <v>662</v>
      </c>
      <c r="D252" s="8" t="s">
        <v>478</v>
      </c>
      <c r="E252" s="8" t="s">
        <v>663</v>
      </c>
      <c r="F252" s="9">
        <v>45782</v>
      </c>
      <c r="G252" s="10">
        <f t="shared" ca="1" si="3"/>
        <v>0.58082191780821912</v>
      </c>
    </row>
    <row r="253" spans="1:7" x14ac:dyDescent="0.35">
      <c r="A253" s="8">
        <v>502185</v>
      </c>
      <c r="B253" s="8" t="s">
        <v>664</v>
      </c>
      <c r="C253" s="8" t="s">
        <v>665</v>
      </c>
      <c r="D253" s="8" t="s">
        <v>478</v>
      </c>
      <c r="E253" s="8" t="s">
        <v>666</v>
      </c>
      <c r="F253" s="9">
        <v>45782</v>
      </c>
      <c r="G253" s="10">
        <f t="shared" ca="1" si="3"/>
        <v>0.58082191780821912</v>
      </c>
    </row>
    <row r="254" spans="1:7" x14ac:dyDescent="0.35">
      <c r="A254" s="8">
        <v>30</v>
      </c>
      <c r="B254" s="8" t="s">
        <v>667</v>
      </c>
      <c r="C254" s="8" t="s">
        <v>668</v>
      </c>
      <c r="D254" s="8" t="s">
        <v>478</v>
      </c>
      <c r="E254" s="8" t="s">
        <v>669</v>
      </c>
      <c r="F254" s="9">
        <v>32387</v>
      </c>
      <c r="G254" s="10">
        <f t="shared" ca="1" si="3"/>
        <v>37.279452054794518</v>
      </c>
    </row>
    <row r="255" spans="1:7" x14ac:dyDescent="0.35">
      <c r="A255" s="8">
        <v>502304</v>
      </c>
      <c r="B255" s="8" t="s">
        <v>670</v>
      </c>
      <c r="C255" s="8" t="s">
        <v>671</v>
      </c>
      <c r="D255" s="8" t="s">
        <v>478</v>
      </c>
      <c r="E255" s="8" t="s">
        <v>672</v>
      </c>
      <c r="F255" s="9">
        <v>45873</v>
      </c>
      <c r="G255" s="10">
        <f t="shared" ca="1" si="3"/>
        <v>0.33150684931506852</v>
      </c>
    </row>
    <row r="256" spans="1:7" x14ac:dyDescent="0.35">
      <c r="A256" s="8">
        <v>502070</v>
      </c>
      <c r="B256" s="8" t="s">
        <v>673</v>
      </c>
      <c r="C256" s="8" t="s">
        <v>674</v>
      </c>
      <c r="D256" s="8" t="s">
        <v>478</v>
      </c>
      <c r="E256" s="8" t="s">
        <v>675</v>
      </c>
      <c r="F256" s="9">
        <v>45642</v>
      </c>
      <c r="G256" s="10">
        <f t="shared" ca="1" si="3"/>
        <v>0.96438356164383565</v>
      </c>
    </row>
    <row r="257" spans="1:7" x14ac:dyDescent="0.35">
      <c r="A257" s="8">
        <v>502296</v>
      </c>
      <c r="B257" s="8" t="s">
        <v>676</v>
      </c>
      <c r="C257" s="8" t="s">
        <v>677</v>
      </c>
      <c r="D257" s="8" t="s">
        <v>478</v>
      </c>
      <c r="E257" s="8" t="s">
        <v>678</v>
      </c>
      <c r="F257" s="9">
        <v>45873</v>
      </c>
      <c r="G257" s="10">
        <f t="shared" ca="1" si="3"/>
        <v>0.33150684931506852</v>
      </c>
    </row>
    <row r="258" spans="1:7" x14ac:dyDescent="0.35">
      <c r="A258" s="8">
        <v>502305</v>
      </c>
      <c r="B258" s="8" t="s">
        <v>679</v>
      </c>
      <c r="C258" s="8" t="s">
        <v>680</v>
      </c>
      <c r="D258" s="8" t="s">
        <v>478</v>
      </c>
      <c r="E258" s="8" t="s">
        <v>681</v>
      </c>
      <c r="F258" s="9">
        <v>45873</v>
      </c>
      <c r="G258" s="10">
        <f t="shared" ca="1" si="3"/>
        <v>0.33150684931506852</v>
      </c>
    </row>
    <row r="259" spans="1:7" x14ac:dyDescent="0.35">
      <c r="A259" s="8">
        <v>100711</v>
      </c>
      <c r="B259" s="8" t="s">
        <v>682</v>
      </c>
      <c r="C259" s="8" t="s">
        <v>683</v>
      </c>
      <c r="D259" s="8" t="s">
        <v>478</v>
      </c>
      <c r="E259" s="8" t="s">
        <v>684</v>
      </c>
      <c r="F259" s="9">
        <v>41106</v>
      </c>
      <c r="G259" s="10">
        <f t="shared" ca="1" si="3"/>
        <v>13.391780821917807</v>
      </c>
    </row>
    <row r="260" spans="1:7" x14ac:dyDescent="0.35">
      <c r="A260" s="8">
        <v>500825</v>
      </c>
      <c r="B260" s="8" t="s">
        <v>685</v>
      </c>
      <c r="C260" s="8" t="s">
        <v>686</v>
      </c>
      <c r="D260" s="8" t="s">
        <v>478</v>
      </c>
      <c r="E260" s="8" t="s">
        <v>687</v>
      </c>
      <c r="F260" s="9">
        <v>43773</v>
      </c>
      <c r="G260" s="10">
        <f t="shared" ca="1" si="3"/>
        <v>6.0849315068493155</v>
      </c>
    </row>
    <row r="261" spans="1:7" x14ac:dyDescent="0.35">
      <c r="A261" s="8">
        <v>502334</v>
      </c>
      <c r="B261" s="8" t="s">
        <v>688</v>
      </c>
      <c r="C261" s="8" t="s">
        <v>686</v>
      </c>
      <c r="D261" s="8" t="s">
        <v>478</v>
      </c>
      <c r="E261" s="8" t="s">
        <v>689</v>
      </c>
      <c r="F261" s="9">
        <v>45887</v>
      </c>
      <c r="G261" s="10">
        <f t="shared" ref="G261:G324" ca="1" si="4">($G$1-F261)/365</f>
        <v>0.29315068493150687</v>
      </c>
    </row>
    <row r="262" spans="1:7" x14ac:dyDescent="0.35">
      <c r="A262" s="8">
        <v>502118</v>
      </c>
      <c r="B262" s="8" t="s">
        <v>690</v>
      </c>
      <c r="C262" s="8" t="s">
        <v>691</v>
      </c>
      <c r="D262" s="8" t="s">
        <v>478</v>
      </c>
      <c r="E262" s="8" t="s">
        <v>692</v>
      </c>
      <c r="F262" s="9">
        <v>45705</v>
      </c>
      <c r="G262" s="10">
        <f t="shared" ca="1" si="4"/>
        <v>0.79178082191780819</v>
      </c>
    </row>
    <row r="263" spans="1:7" x14ac:dyDescent="0.35">
      <c r="A263" s="8">
        <v>501310</v>
      </c>
      <c r="B263" s="8" t="s">
        <v>693</v>
      </c>
      <c r="C263" s="8" t="s">
        <v>694</v>
      </c>
      <c r="D263" s="8" t="s">
        <v>478</v>
      </c>
      <c r="E263" s="8" t="s">
        <v>695</v>
      </c>
      <c r="F263" s="9">
        <v>44608</v>
      </c>
      <c r="G263" s="10">
        <f t="shared" ca="1" si="4"/>
        <v>3.7972602739726029</v>
      </c>
    </row>
    <row r="264" spans="1:7" x14ac:dyDescent="0.35">
      <c r="A264" s="8">
        <v>501825</v>
      </c>
      <c r="B264" s="8" t="s">
        <v>696</v>
      </c>
      <c r="C264" s="8" t="s">
        <v>694</v>
      </c>
      <c r="D264" s="8" t="s">
        <v>478</v>
      </c>
      <c r="E264" s="8" t="s">
        <v>697</v>
      </c>
      <c r="F264" s="9">
        <v>45428</v>
      </c>
      <c r="G264" s="10">
        <f t="shared" ca="1" si="4"/>
        <v>1.5506849315068494</v>
      </c>
    </row>
    <row r="265" spans="1:7" x14ac:dyDescent="0.35">
      <c r="A265" s="8">
        <v>500186</v>
      </c>
      <c r="B265" s="8" t="s">
        <v>698</v>
      </c>
      <c r="C265" s="8" t="s">
        <v>699</v>
      </c>
      <c r="D265" s="8" t="s">
        <v>700</v>
      </c>
      <c r="E265" s="8" t="s">
        <v>701</v>
      </c>
      <c r="F265" s="9">
        <v>41563</v>
      </c>
      <c r="G265" s="10">
        <f t="shared" ca="1" si="4"/>
        <v>12.139726027397261</v>
      </c>
    </row>
    <row r="266" spans="1:7" x14ac:dyDescent="0.35">
      <c r="A266" s="8">
        <v>26</v>
      </c>
      <c r="B266" s="8" t="s">
        <v>702</v>
      </c>
      <c r="C266" s="8" t="s">
        <v>142</v>
      </c>
      <c r="D266" s="8" t="s">
        <v>700</v>
      </c>
      <c r="E266" s="8" t="s">
        <v>703</v>
      </c>
      <c r="F266" s="9">
        <v>32027</v>
      </c>
      <c r="G266" s="10">
        <f t="shared" ca="1" si="4"/>
        <v>38.265753424657532</v>
      </c>
    </row>
    <row r="267" spans="1:7" x14ac:dyDescent="0.35">
      <c r="A267" s="8">
        <v>100034</v>
      </c>
      <c r="B267" s="8" t="s">
        <v>704</v>
      </c>
      <c r="C267" s="8" t="s">
        <v>705</v>
      </c>
      <c r="D267" s="8" t="s">
        <v>700</v>
      </c>
      <c r="E267" s="8" t="s">
        <v>706</v>
      </c>
      <c r="F267" s="9">
        <v>39755</v>
      </c>
      <c r="G267" s="10">
        <f t="shared" ca="1" si="4"/>
        <v>17.093150684931508</v>
      </c>
    </row>
    <row r="268" spans="1:7" x14ac:dyDescent="0.35">
      <c r="A268" s="8">
        <v>500194</v>
      </c>
      <c r="B268" s="8" t="s">
        <v>707</v>
      </c>
      <c r="C268" s="8" t="s">
        <v>708</v>
      </c>
      <c r="D268" s="8" t="s">
        <v>700</v>
      </c>
      <c r="E268" s="8" t="s">
        <v>709</v>
      </c>
      <c r="F268" s="9">
        <v>41645</v>
      </c>
      <c r="G268" s="10">
        <f t="shared" ca="1" si="4"/>
        <v>11.915068493150685</v>
      </c>
    </row>
    <row r="269" spans="1:7" x14ac:dyDescent="0.35">
      <c r="A269" s="8">
        <v>502142</v>
      </c>
      <c r="B269" s="8" t="s">
        <v>710</v>
      </c>
      <c r="C269" s="8" t="s">
        <v>711</v>
      </c>
      <c r="D269" s="8" t="s">
        <v>700</v>
      </c>
      <c r="E269" s="8" t="s">
        <v>712</v>
      </c>
      <c r="F269" s="9">
        <v>45734</v>
      </c>
      <c r="G269" s="10">
        <f t="shared" ca="1" si="4"/>
        <v>0.71232876712328763</v>
      </c>
    </row>
    <row r="270" spans="1:7" x14ac:dyDescent="0.35">
      <c r="A270" s="8">
        <v>501961</v>
      </c>
      <c r="B270" s="8" t="s">
        <v>713</v>
      </c>
      <c r="C270" s="8" t="s">
        <v>711</v>
      </c>
      <c r="D270" s="8" t="s">
        <v>700</v>
      </c>
      <c r="E270" s="8" t="s">
        <v>714</v>
      </c>
      <c r="F270" s="9">
        <v>45537</v>
      </c>
      <c r="G270" s="10">
        <f t="shared" ca="1" si="4"/>
        <v>1.252054794520548</v>
      </c>
    </row>
    <row r="271" spans="1:7" x14ac:dyDescent="0.35">
      <c r="A271" s="8">
        <v>1808</v>
      </c>
      <c r="B271" s="8" t="s">
        <v>715</v>
      </c>
      <c r="C271" s="8" t="s">
        <v>711</v>
      </c>
      <c r="D271" s="8" t="s">
        <v>700</v>
      </c>
      <c r="E271" s="8" t="s">
        <v>716</v>
      </c>
      <c r="F271" s="9">
        <v>44378</v>
      </c>
      <c r="G271" s="10">
        <f t="shared" ca="1" si="4"/>
        <v>4.4273972602739722</v>
      </c>
    </row>
    <row r="272" spans="1:7" x14ac:dyDescent="0.35">
      <c r="A272" s="8">
        <v>501896</v>
      </c>
      <c r="B272" s="8" t="s">
        <v>717</v>
      </c>
      <c r="C272" s="8" t="s">
        <v>711</v>
      </c>
      <c r="D272" s="8" t="s">
        <v>700</v>
      </c>
      <c r="E272" s="8" t="s">
        <v>718</v>
      </c>
      <c r="F272" s="9">
        <v>45474</v>
      </c>
      <c r="G272" s="10">
        <f t="shared" ca="1" si="4"/>
        <v>1.4246575342465753</v>
      </c>
    </row>
    <row r="273" spans="1:7" x14ac:dyDescent="0.35">
      <c r="A273" s="8">
        <v>501443</v>
      </c>
      <c r="B273" s="8" t="s">
        <v>719</v>
      </c>
      <c r="C273" s="8" t="s">
        <v>720</v>
      </c>
      <c r="D273" s="8" t="s">
        <v>700</v>
      </c>
      <c r="E273" s="8" t="s">
        <v>721</v>
      </c>
      <c r="F273" s="9">
        <v>44774</v>
      </c>
      <c r="G273" s="10">
        <f t="shared" ca="1" si="4"/>
        <v>3.3424657534246576</v>
      </c>
    </row>
    <row r="274" spans="1:7" x14ac:dyDescent="0.35">
      <c r="A274" s="8">
        <v>15</v>
      </c>
      <c r="B274" s="8" t="s">
        <v>722</v>
      </c>
      <c r="C274" s="8" t="s">
        <v>723</v>
      </c>
      <c r="D274" s="8" t="s">
        <v>700</v>
      </c>
      <c r="E274" s="8" t="s">
        <v>724</v>
      </c>
      <c r="F274" s="9">
        <v>31474</v>
      </c>
      <c r="G274" s="10">
        <f t="shared" ca="1" si="4"/>
        <v>39.780821917808218</v>
      </c>
    </row>
    <row r="275" spans="1:7" x14ac:dyDescent="0.35">
      <c r="A275" s="8">
        <v>87</v>
      </c>
      <c r="B275" s="8" t="s">
        <v>725</v>
      </c>
      <c r="C275" s="8" t="s">
        <v>76</v>
      </c>
      <c r="D275" s="8" t="s">
        <v>700</v>
      </c>
      <c r="E275" s="8" t="s">
        <v>726</v>
      </c>
      <c r="F275" s="9">
        <v>36549</v>
      </c>
      <c r="G275" s="10">
        <f t="shared" ca="1" si="4"/>
        <v>25.876712328767123</v>
      </c>
    </row>
    <row r="276" spans="1:7" x14ac:dyDescent="0.35">
      <c r="A276" s="8">
        <v>501696</v>
      </c>
      <c r="B276" s="8" t="s">
        <v>727</v>
      </c>
      <c r="C276" s="8" t="s">
        <v>728</v>
      </c>
      <c r="D276" s="8" t="s">
        <v>700</v>
      </c>
      <c r="E276" s="8" t="s">
        <v>729</v>
      </c>
      <c r="F276" s="9">
        <v>45201</v>
      </c>
      <c r="G276" s="10">
        <f t="shared" ca="1" si="4"/>
        <v>2.1726027397260275</v>
      </c>
    </row>
    <row r="277" spans="1:7" x14ac:dyDescent="0.35">
      <c r="A277" s="5">
        <v>501646</v>
      </c>
      <c r="B277" s="5" t="s">
        <v>730</v>
      </c>
      <c r="C277" s="5" t="s">
        <v>119</v>
      </c>
      <c r="D277" s="5" t="s">
        <v>700</v>
      </c>
      <c r="E277" s="5" t="s">
        <v>731</v>
      </c>
      <c r="F277" s="6">
        <v>45950</v>
      </c>
      <c r="G277" s="7">
        <f t="shared" ca="1" si="4"/>
        <v>0.12054794520547946</v>
      </c>
    </row>
    <row r="278" spans="1:7" x14ac:dyDescent="0.35">
      <c r="A278" s="8">
        <v>500163</v>
      </c>
      <c r="B278" s="8" t="s">
        <v>732</v>
      </c>
      <c r="C278" s="8" t="s">
        <v>733</v>
      </c>
      <c r="D278" s="8" t="s">
        <v>700</v>
      </c>
      <c r="E278" s="8" t="s">
        <v>734</v>
      </c>
      <c r="F278" s="9">
        <v>41137</v>
      </c>
      <c r="G278" s="10">
        <f t="shared" ca="1" si="4"/>
        <v>13.306849315068494</v>
      </c>
    </row>
    <row r="279" spans="1:7" x14ac:dyDescent="0.35">
      <c r="A279" s="8">
        <v>500495</v>
      </c>
      <c r="B279" s="8" t="s">
        <v>735</v>
      </c>
      <c r="C279" s="8" t="s">
        <v>736</v>
      </c>
      <c r="D279" s="8" t="s">
        <v>700</v>
      </c>
      <c r="E279" s="8" t="s">
        <v>737</v>
      </c>
      <c r="F279" s="9">
        <v>43313</v>
      </c>
      <c r="G279" s="10">
        <f t="shared" ca="1" si="4"/>
        <v>7.3452054794520549</v>
      </c>
    </row>
    <row r="280" spans="1:7" x14ac:dyDescent="0.35">
      <c r="A280" s="8">
        <v>81</v>
      </c>
      <c r="B280" s="8" t="s">
        <v>738</v>
      </c>
      <c r="C280" s="8" t="s">
        <v>733</v>
      </c>
      <c r="D280" s="8" t="s">
        <v>700</v>
      </c>
      <c r="E280" s="8" t="s">
        <v>739</v>
      </c>
      <c r="F280" s="9">
        <v>36235</v>
      </c>
      <c r="G280" s="10">
        <f t="shared" ca="1" si="4"/>
        <v>26.736986301369864</v>
      </c>
    </row>
    <row r="281" spans="1:7" x14ac:dyDescent="0.35">
      <c r="A281" s="8">
        <v>501946</v>
      </c>
      <c r="B281" s="8" t="s">
        <v>740</v>
      </c>
      <c r="C281" s="8" t="s">
        <v>728</v>
      </c>
      <c r="D281" s="8" t="s">
        <v>700</v>
      </c>
      <c r="E281" s="8" t="s">
        <v>741</v>
      </c>
      <c r="F281" s="9">
        <v>45530</v>
      </c>
      <c r="G281" s="10">
        <f t="shared" ca="1" si="4"/>
        <v>1.2712328767123289</v>
      </c>
    </row>
    <row r="282" spans="1:7" x14ac:dyDescent="0.35">
      <c r="A282" s="8">
        <v>502238</v>
      </c>
      <c r="B282" s="8" t="s">
        <v>742</v>
      </c>
      <c r="C282" s="8" t="s">
        <v>728</v>
      </c>
      <c r="D282" s="8" t="s">
        <v>700</v>
      </c>
      <c r="E282" s="8" t="s">
        <v>743</v>
      </c>
      <c r="F282" s="9">
        <v>45859</v>
      </c>
      <c r="G282" s="10">
        <f t="shared" ca="1" si="4"/>
        <v>0.36986301369863012</v>
      </c>
    </row>
    <row r="283" spans="1:7" x14ac:dyDescent="0.35">
      <c r="A283" s="8">
        <v>1933</v>
      </c>
      <c r="B283" s="8" t="s">
        <v>744</v>
      </c>
      <c r="C283" s="8" t="s">
        <v>736</v>
      </c>
      <c r="D283" s="8" t="s">
        <v>700</v>
      </c>
      <c r="E283" s="8" t="s">
        <v>745</v>
      </c>
      <c r="F283" s="9">
        <v>42996</v>
      </c>
      <c r="G283" s="10">
        <f t="shared" ca="1" si="4"/>
        <v>8.213698630136987</v>
      </c>
    </row>
    <row r="284" spans="1:7" x14ac:dyDescent="0.35">
      <c r="A284" s="8">
        <v>158</v>
      </c>
      <c r="B284" s="8" t="s">
        <v>746</v>
      </c>
      <c r="C284" s="8" t="s">
        <v>705</v>
      </c>
      <c r="D284" s="8" t="s">
        <v>700</v>
      </c>
      <c r="E284" s="8" t="s">
        <v>747</v>
      </c>
      <c r="F284" s="9">
        <v>38530</v>
      </c>
      <c r="G284" s="10">
        <f t="shared" ca="1" si="4"/>
        <v>20.449315068493149</v>
      </c>
    </row>
    <row r="285" spans="1:7" x14ac:dyDescent="0.35">
      <c r="A285" s="8">
        <v>500192</v>
      </c>
      <c r="B285" s="8" t="s">
        <v>748</v>
      </c>
      <c r="C285" s="8" t="s">
        <v>723</v>
      </c>
      <c r="D285" s="8" t="s">
        <v>700</v>
      </c>
      <c r="E285" s="8" t="s">
        <v>749</v>
      </c>
      <c r="F285" s="9">
        <v>41645</v>
      </c>
      <c r="G285" s="10">
        <f t="shared" ca="1" si="4"/>
        <v>11.915068493150685</v>
      </c>
    </row>
    <row r="286" spans="1:7" x14ac:dyDescent="0.35">
      <c r="A286" s="8">
        <v>501260</v>
      </c>
      <c r="B286" s="8" t="s">
        <v>750</v>
      </c>
      <c r="C286" s="8" t="s">
        <v>76</v>
      </c>
      <c r="D286" s="8" t="s">
        <v>700</v>
      </c>
      <c r="E286" s="8" t="s">
        <v>751</v>
      </c>
      <c r="F286" s="9">
        <v>44473</v>
      </c>
      <c r="G286" s="10">
        <f t="shared" ca="1" si="4"/>
        <v>4.1671232876712327</v>
      </c>
    </row>
    <row r="287" spans="1:7" x14ac:dyDescent="0.35">
      <c r="A287" s="8">
        <v>1818</v>
      </c>
      <c r="B287" s="8" t="s">
        <v>752</v>
      </c>
      <c r="C287" s="8" t="s">
        <v>736</v>
      </c>
      <c r="D287" s="8" t="s">
        <v>700</v>
      </c>
      <c r="E287" s="8" t="s">
        <v>753</v>
      </c>
      <c r="F287" s="9">
        <v>42871</v>
      </c>
      <c r="G287" s="10">
        <f t="shared" ca="1" si="4"/>
        <v>8.5561643835616437</v>
      </c>
    </row>
    <row r="288" spans="1:7" x14ac:dyDescent="0.35">
      <c r="A288" s="8">
        <v>500137</v>
      </c>
      <c r="B288" s="8" t="s">
        <v>754</v>
      </c>
      <c r="C288" s="8" t="s">
        <v>733</v>
      </c>
      <c r="D288" s="8" t="s">
        <v>700</v>
      </c>
      <c r="E288" s="8" t="s">
        <v>755</v>
      </c>
      <c r="F288" s="9">
        <v>41001</v>
      </c>
      <c r="G288" s="10">
        <f t="shared" ca="1" si="4"/>
        <v>13.67945205479452</v>
      </c>
    </row>
    <row r="289" spans="1:7" x14ac:dyDescent="0.35">
      <c r="A289" s="8">
        <v>23</v>
      </c>
      <c r="B289" s="8" t="s">
        <v>756</v>
      </c>
      <c r="C289" s="8" t="s">
        <v>757</v>
      </c>
      <c r="D289" s="8" t="s">
        <v>700</v>
      </c>
      <c r="E289" s="8" t="s">
        <v>758</v>
      </c>
      <c r="F289" s="9">
        <v>31898</v>
      </c>
      <c r="G289" s="10">
        <f t="shared" ca="1" si="4"/>
        <v>38.61917808219178</v>
      </c>
    </row>
    <row r="290" spans="1:7" x14ac:dyDescent="0.35">
      <c r="A290" s="8">
        <v>84</v>
      </c>
      <c r="B290" s="8" t="s">
        <v>759</v>
      </c>
      <c r="C290" s="8" t="s">
        <v>76</v>
      </c>
      <c r="D290" s="8" t="s">
        <v>700</v>
      </c>
      <c r="E290" s="8" t="s">
        <v>760</v>
      </c>
      <c r="F290" s="9">
        <v>36367</v>
      </c>
      <c r="G290" s="10">
        <f t="shared" ca="1" si="4"/>
        <v>26.375342465753423</v>
      </c>
    </row>
    <row r="291" spans="1:7" x14ac:dyDescent="0.35">
      <c r="A291" s="8">
        <v>502389</v>
      </c>
      <c r="B291" s="8" t="s">
        <v>761</v>
      </c>
      <c r="C291" s="8" t="s">
        <v>728</v>
      </c>
      <c r="D291" s="8" t="s">
        <v>700</v>
      </c>
      <c r="E291" s="8" t="s">
        <v>762</v>
      </c>
      <c r="F291" s="9">
        <v>45901</v>
      </c>
      <c r="G291" s="10">
        <f t="shared" ca="1" si="4"/>
        <v>0.25479452054794521</v>
      </c>
    </row>
    <row r="292" spans="1:7" x14ac:dyDescent="0.35">
      <c r="A292" s="8">
        <v>500190</v>
      </c>
      <c r="B292" s="8" t="s">
        <v>763</v>
      </c>
      <c r="C292" s="8" t="s">
        <v>705</v>
      </c>
      <c r="D292" s="8" t="s">
        <v>700</v>
      </c>
      <c r="E292" s="8" t="s">
        <v>764</v>
      </c>
      <c r="F292" s="9">
        <v>41645</v>
      </c>
      <c r="G292" s="10">
        <f t="shared" ca="1" si="4"/>
        <v>11.915068493150685</v>
      </c>
    </row>
    <row r="293" spans="1:7" x14ac:dyDescent="0.35">
      <c r="A293" s="8">
        <v>500041</v>
      </c>
      <c r="B293" s="8" t="s">
        <v>765</v>
      </c>
      <c r="C293" s="8" t="s">
        <v>766</v>
      </c>
      <c r="D293" s="8" t="s">
        <v>700</v>
      </c>
      <c r="E293" s="8" t="s">
        <v>767</v>
      </c>
      <c r="F293" s="9">
        <v>40212</v>
      </c>
      <c r="G293" s="10">
        <f t="shared" ca="1" si="4"/>
        <v>15.841095890410958</v>
      </c>
    </row>
    <row r="294" spans="1:7" x14ac:dyDescent="0.35">
      <c r="A294" s="8">
        <v>501330</v>
      </c>
      <c r="B294" s="8" t="s">
        <v>768</v>
      </c>
      <c r="C294" s="8" t="s">
        <v>728</v>
      </c>
      <c r="D294" s="8" t="s">
        <v>700</v>
      </c>
      <c r="E294" s="8" t="s">
        <v>769</v>
      </c>
      <c r="F294" s="9">
        <v>44636</v>
      </c>
      <c r="G294" s="10">
        <f t="shared" ca="1" si="4"/>
        <v>3.7205479452054795</v>
      </c>
    </row>
    <row r="295" spans="1:7" x14ac:dyDescent="0.35">
      <c r="A295" s="8">
        <v>72</v>
      </c>
      <c r="B295" s="8" t="s">
        <v>770</v>
      </c>
      <c r="C295" s="8" t="s">
        <v>766</v>
      </c>
      <c r="D295" s="8" t="s">
        <v>700</v>
      </c>
      <c r="E295" s="8" t="s">
        <v>771</v>
      </c>
      <c r="F295" s="9">
        <v>34166</v>
      </c>
      <c r="G295" s="10">
        <f t="shared" ca="1" si="4"/>
        <v>32.405479452054792</v>
      </c>
    </row>
    <row r="296" spans="1:7" x14ac:dyDescent="0.35">
      <c r="A296" s="8">
        <v>76</v>
      </c>
      <c r="B296" s="8" t="s">
        <v>772</v>
      </c>
      <c r="C296" s="8" t="s">
        <v>733</v>
      </c>
      <c r="D296" s="8" t="s">
        <v>700</v>
      </c>
      <c r="E296" s="8" t="s">
        <v>773</v>
      </c>
      <c r="F296" s="9">
        <v>35921</v>
      </c>
      <c r="G296" s="10">
        <f t="shared" ca="1" si="4"/>
        <v>27.597260273972601</v>
      </c>
    </row>
    <row r="297" spans="1:7" x14ac:dyDescent="0.35">
      <c r="A297" s="5">
        <v>502497</v>
      </c>
      <c r="B297" s="5" t="s">
        <v>774</v>
      </c>
      <c r="C297" s="5" t="s">
        <v>728</v>
      </c>
      <c r="D297" s="5" t="s">
        <v>700</v>
      </c>
      <c r="E297" s="5" t="s">
        <v>775</v>
      </c>
      <c r="F297" s="6">
        <v>45922</v>
      </c>
      <c r="G297" s="7">
        <f t="shared" ca="1" si="4"/>
        <v>0.19726027397260273</v>
      </c>
    </row>
    <row r="298" spans="1:7" x14ac:dyDescent="0.35">
      <c r="A298" s="8">
        <v>66</v>
      </c>
      <c r="B298" s="8" t="s">
        <v>776</v>
      </c>
      <c r="C298" s="8" t="s">
        <v>723</v>
      </c>
      <c r="D298" s="8" t="s">
        <v>700</v>
      </c>
      <c r="E298" s="8" t="s">
        <v>777</v>
      </c>
      <c r="F298" s="9">
        <v>35503</v>
      </c>
      <c r="G298" s="10">
        <f t="shared" ca="1" si="4"/>
        <v>28.742465753424657</v>
      </c>
    </row>
    <row r="299" spans="1:7" x14ac:dyDescent="0.35">
      <c r="A299" s="8">
        <v>120</v>
      </c>
      <c r="B299" s="8" t="s">
        <v>778</v>
      </c>
      <c r="C299" s="8" t="s">
        <v>76</v>
      </c>
      <c r="D299" s="8" t="s">
        <v>700</v>
      </c>
      <c r="E299" s="8" t="s">
        <v>779</v>
      </c>
      <c r="F299" s="9">
        <v>37582</v>
      </c>
      <c r="G299" s="10">
        <f t="shared" ca="1" si="4"/>
        <v>23.046575342465754</v>
      </c>
    </row>
    <row r="300" spans="1:7" x14ac:dyDescent="0.35">
      <c r="A300" s="8">
        <v>500201</v>
      </c>
      <c r="B300" s="8" t="s">
        <v>780</v>
      </c>
      <c r="C300" s="8" t="s">
        <v>781</v>
      </c>
      <c r="D300" s="8" t="s">
        <v>700</v>
      </c>
      <c r="E300" s="8" t="s">
        <v>782</v>
      </c>
      <c r="F300" s="9">
        <v>41778</v>
      </c>
      <c r="G300" s="10">
        <f t="shared" ca="1" si="4"/>
        <v>11.550684931506849</v>
      </c>
    </row>
    <row r="301" spans="1:7" x14ac:dyDescent="0.35">
      <c r="A301" s="8">
        <v>502196</v>
      </c>
      <c r="B301" s="8" t="s">
        <v>783</v>
      </c>
      <c r="C301" s="8" t="s">
        <v>781</v>
      </c>
      <c r="D301" s="8" t="s">
        <v>700</v>
      </c>
      <c r="E301" s="8" t="s">
        <v>784</v>
      </c>
      <c r="F301" s="9">
        <v>45782</v>
      </c>
      <c r="G301" s="10">
        <f t="shared" ca="1" si="4"/>
        <v>0.58082191780821912</v>
      </c>
    </row>
    <row r="302" spans="1:7" x14ac:dyDescent="0.35">
      <c r="A302" s="8">
        <v>502160</v>
      </c>
      <c r="B302" s="8" t="s">
        <v>785</v>
      </c>
      <c r="C302" s="8" t="s">
        <v>736</v>
      </c>
      <c r="D302" s="8" t="s">
        <v>700</v>
      </c>
      <c r="E302" s="8" t="s">
        <v>786</v>
      </c>
      <c r="F302" s="9">
        <v>45754</v>
      </c>
      <c r="G302" s="10">
        <f t="shared" ca="1" si="4"/>
        <v>0.65753424657534243</v>
      </c>
    </row>
    <row r="303" spans="1:7" x14ac:dyDescent="0.35">
      <c r="A303" s="8">
        <v>502161</v>
      </c>
      <c r="B303" s="8" t="s">
        <v>787</v>
      </c>
      <c r="C303" s="8" t="s">
        <v>736</v>
      </c>
      <c r="D303" s="8" t="s">
        <v>700</v>
      </c>
      <c r="E303" s="8" t="s">
        <v>788</v>
      </c>
      <c r="F303" s="9">
        <v>45768</v>
      </c>
      <c r="G303" s="10">
        <f t="shared" ca="1" si="4"/>
        <v>0.61917808219178083</v>
      </c>
    </row>
    <row r="304" spans="1:7" x14ac:dyDescent="0.35">
      <c r="A304" s="8">
        <v>125</v>
      </c>
      <c r="B304" s="8" t="s">
        <v>789</v>
      </c>
      <c r="C304" s="8" t="s">
        <v>705</v>
      </c>
      <c r="D304" s="8" t="s">
        <v>700</v>
      </c>
      <c r="E304" s="8" t="s">
        <v>790</v>
      </c>
      <c r="F304" s="9">
        <v>37669</v>
      </c>
      <c r="G304" s="10">
        <f t="shared" ca="1" si="4"/>
        <v>22.80821917808219</v>
      </c>
    </row>
    <row r="305" spans="1:7" x14ac:dyDescent="0.35">
      <c r="A305" s="8">
        <v>128</v>
      </c>
      <c r="B305" s="8" t="s">
        <v>791</v>
      </c>
      <c r="C305" s="8" t="s">
        <v>705</v>
      </c>
      <c r="D305" s="8" t="s">
        <v>700</v>
      </c>
      <c r="E305" s="8" t="s">
        <v>792</v>
      </c>
      <c r="F305" s="9">
        <v>37795</v>
      </c>
      <c r="G305" s="10">
        <f t="shared" ca="1" si="4"/>
        <v>22.463013698630139</v>
      </c>
    </row>
    <row r="306" spans="1:7" x14ac:dyDescent="0.35">
      <c r="A306" s="8">
        <v>500189</v>
      </c>
      <c r="B306" s="8" t="s">
        <v>793</v>
      </c>
      <c r="C306" s="8" t="s">
        <v>705</v>
      </c>
      <c r="D306" s="8" t="s">
        <v>700</v>
      </c>
      <c r="E306" s="8" t="s">
        <v>794</v>
      </c>
      <c r="F306" s="9">
        <v>41582</v>
      </c>
      <c r="G306" s="10">
        <f t="shared" ca="1" si="4"/>
        <v>12.087671232876712</v>
      </c>
    </row>
    <row r="307" spans="1:7" x14ac:dyDescent="0.35">
      <c r="A307" s="8">
        <v>501385</v>
      </c>
      <c r="B307" s="8" t="s">
        <v>795</v>
      </c>
      <c r="C307" s="8" t="s">
        <v>796</v>
      </c>
      <c r="D307" s="8" t="s">
        <v>797</v>
      </c>
      <c r="E307" s="8" t="s">
        <v>798</v>
      </c>
      <c r="F307" s="9">
        <v>44687</v>
      </c>
      <c r="G307" s="10">
        <f t="shared" ca="1" si="4"/>
        <v>3.580821917808219</v>
      </c>
    </row>
    <row r="308" spans="1:7" x14ac:dyDescent="0.35">
      <c r="A308" s="8">
        <v>502217</v>
      </c>
      <c r="B308" s="8" t="s">
        <v>799</v>
      </c>
      <c r="C308" s="8" t="s">
        <v>800</v>
      </c>
      <c r="D308" s="8" t="s">
        <v>797</v>
      </c>
      <c r="E308" s="8" t="s">
        <v>801</v>
      </c>
      <c r="F308" s="9">
        <v>45798</v>
      </c>
      <c r="G308" s="10">
        <f t="shared" ca="1" si="4"/>
        <v>0.53698630136986303</v>
      </c>
    </row>
    <row r="309" spans="1:7" x14ac:dyDescent="0.35">
      <c r="A309" s="8">
        <v>501382</v>
      </c>
      <c r="B309" s="8" t="s">
        <v>802</v>
      </c>
      <c r="C309" s="8" t="s">
        <v>803</v>
      </c>
      <c r="D309" s="8" t="s">
        <v>797</v>
      </c>
      <c r="E309" s="8" t="s">
        <v>14</v>
      </c>
      <c r="F309" s="9">
        <v>44683</v>
      </c>
      <c r="G309" s="10">
        <f t="shared" ca="1" si="4"/>
        <v>3.591780821917808</v>
      </c>
    </row>
    <row r="310" spans="1:7" x14ac:dyDescent="0.35">
      <c r="A310" s="8">
        <v>501805</v>
      </c>
      <c r="B310" s="8" t="s">
        <v>804</v>
      </c>
      <c r="C310" s="8" t="s">
        <v>805</v>
      </c>
      <c r="D310" s="8" t="s">
        <v>797</v>
      </c>
      <c r="E310" s="8" t="s">
        <v>806</v>
      </c>
      <c r="F310" s="9">
        <v>45370</v>
      </c>
      <c r="G310" s="10">
        <f t="shared" ca="1" si="4"/>
        <v>1.7095890410958905</v>
      </c>
    </row>
    <row r="311" spans="1:7" x14ac:dyDescent="0.35">
      <c r="A311" s="8">
        <v>501373</v>
      </c>
      <c r="B311" s="8" t="s">
        <v>807</v>
      </c>
      <c r="C311" s="8" t="s">
        <v>808</v>
      </c>
      <c r="D311" s="8" t="s">
        <v>809</v>
      </c>
      <c r="E311" s="8" t="s">
        <v>810</v>
      </c>
      <c r="F311" s="9">
        <v>44683</v>
      </c>
      <c r="G311" s="10">
        <f t="shared" ca="1" si="4"/>
        <v>3.591780821917808</v>
      </c>
    </row>
    <row r="312" spans="1:7" x14ac:dyDescent="0.35">
      <c r="A312" s="5">
        <v>502479</v>
      </c>
      <c r="B312" s="5" t="s">
        <v>811</v>
      </c>
      <c r="C312" s="5" t="s">
        <v>812</v>
      </c>
      <c r="D312" s="5" t="s">
        <v>809</v>
      </c>
      <c r="E312" s="5" t="s">
        <v>813</v>
      </c>
      <c r="F312" s="6">
        <v>45917</v>
      </c>
      <c r="G312" s="7">
        <f t="shared" ca="1" si="4"/>
        <v>0.21095890410958903</v>
      </c>
    </row>
    <row r="313" spans="1:7" x14ac:dyDescent="0.35">
      <c r="A313" s="8">
        <v>501830</v>
      </c>
      <c r="B313" s="8" t="s">
        <v>814</v>
      </c>
      <c r="C313" s="8" t="s">
        <v>815</v>
      </c>
      <c r="D313" s="8" t="s">
        <v>809</v>
      </c>
      <c r="E313" s="8" t="s">
        <v>816</v>
      </c>
      <c r="F313" s="9">
        <v>45414</v>
      </c>
      <c r="G313" s="10">
        <f t="shared" ca="1" si="4"/>
        <v>1.5890410958904109</v>
      </c>
    </row>
    <row r="314" spans="1:7" x14ac:dyDescent="0.35">
      <c r="A314" s="8">
        <v>46</v>
      </c>
      <c r="B314" s="8" t="s">
        <v>817</v>
      </c>
      <c r="C314" s="8" t="s">
        <v>583</v>
      </c>
      <c r="D314" s="8" t="s">
        <v>809</v>
      </c>
      <c r="E314" s="8" t="s">
        <v>818</v>
      </c>
      <c r="F314" s="9">
        <v>33434</v>
      </c>
      <c r="G314" s="10">
        <f t="shared" ca="1" si="4"/>
        <v>34.410958904109592</v>
      </c>
    </row>
    <row r="315" spans="1:7" x14ac:dyDescent="0.35">
      <c r="A315" s="8">
        <v>112</v>
      </c>
      <c r="B315" s="8" t="s">
        <v>819</v>
      </c>
      <c r="C315" s="8" t="s">
        <v>583</v>
      </c>
      <c r="D315" s="8" t="s">
        <v>809</v>
      </c>
      <c r="E315" s="8" t="s">
        <v>820</v>
      </c>
      <c r="F315" s="9">
        <v>42782</v>
      </c>
      <c r="G315" s="10">
        <f t="shared" ca="1" si="4"/>
        <v>8.8000000000000007</v>
      </c>
    </row>
    <row r="316" spans="1:7" x14ac:dyDescent="0.35">
      <c r="A316" s="8">
        <v>501831</v>
      </c>
      <c r="B316" s="8" t="s">
        <v>821</v>
      </c>
      <c r="C316" s="8" t="s">
        <v>583</v>
      </c>
      <c r="D316" s="8" t="s">
        <v>809</v>
      </c>
      <c r="E316" s="8" t="s">
        <v>822</v>
      </c>
      <c r="F316" s="9">
        <v>45414</v>
      </c>
      <c r="G316" s="10">
        <f t="shared" ca="1" si="4"/>
        <v>1.5890410958904109</v>
      </c>
    </row>
    <row r="317" spans="1:7" x14ac:dyDescent="0.35">
      <c r="A317" s="8">
        <v>502243</v>
      </c>
      <c r="B317" s="8" t="s">
        <v>823</v>
      </c>
      <c r="C317" s="8" t="s">
        <v>824</v>
      </c>
      <c r="D317" s="8" t="s">
        <v>809</v>
      </c>
      <c r="E317" s="8" t="s">
        <v>825</v>
      </c>
      <c r="F317" s="9">
        <v>45824</v>
      </c>
      <c r="G317" s="10">
        <f t="shared" ca="1" si="4"/>
        <v>0.46575342465753422</v>
      </c>
    </row>
    <row r="318" spans="1:7" x14ac:dyDescent="0.35">
      <c r="A318" s="8">
        <v>501875</v>
      </c>
      <c r="B318" s="8" t="s">
        <v>826</v>
      </c>
      <c r="C318" s="8" t="s">
        <v>827</v>
      </c>
      <c r="D318" s="8" t="s">
        <v>828</v>
      </c>
      <c r="E318" s="8" t="s">
        <v>829</v>
      </c>
      <c r="F318" s="9">
        <v>45460</v>
      </c>
      <c r="G318" s="10">
        <f t="shared" ca="1" si="4"/>
        <v>1.463013698630137</v>
      </c>
    </row>
    <row r="319" spans="1:7" x14ac:dyDescent="0.35">
      <c r="A319" s="8">
        <v>16</v>
      </c>
      <c r="B319" s="8" t="s">
        <v>830</v>
      </c>
      <c r="C319" s="8" t="s">
        <v>831</v>
      </c>
      <c r="D319" s="8" t="s">
        <v>828</v>
      </c>
      <c r="E319" s="8" t="s">
        <v>832</v>
      </c>
      <c r="F319" s="9">
        <v>31674</v>
      </c>
      <c r="G319" s="10">
        <f t="shared" ca="1" si="4"/>
        <v>39.232876712328768</v>
      </c>
    </row>
    <row r="320" spans="1:7" x14ac:dyDescent="0.35">
      <c r="A320" s="8">
        <v>500417</v>
      </c>
      <c r="B320" s="8" t="s">
        <v>833</v>
      </c>
      <c r="C320" s="8" t="s">
        <v>834</v>
      </c>
      <c r="D320" s="8" t="s">
        <v>828</v>
      </c>
      <c r="E320" s="8" t="s">
        <v>835</v>
      </c>
      <c r="F320" s="9">
        <v>43206</v>
      </c>
      <c r="G320" s="10">
        <f t="shared" ca="1" si="4"/>
        <v>7.6383561643835618</v>
      </c>
    </row>
    <row r="321" spans="1:7" x14ac:dyDescent="0.35">
      <c r="A321" s="8">
        <v>38</v>
      </c>
      <c r="B321" s="8" t="s">
        <v>836</v>
      </c>
      <c r="C321" s="8" t="s">
        <v>837</v>
      </c>
      <c r="D321" s="8" t="s">
        <v>828</v>
      </c>
      <c r="E321" s="8" t="s">
        <v>838</v>
      </c>
      <c r="F321" s="9">
        <v>36070</v>
      </c>
      <c r="G321" s="10">
        <f t="shared" ca="1" si="4"/>
        <v>27.18904109589041</v>
      </c>
    </row>
    <row r="322" spans="1:7" x14ac:dyDescent="0.35">
      <c r="A322" s="8">
        <v>101</v>
      </c>
      <c r="B322" s="8" t="s">
        <v>839</v>
      </c>
      <c r="C322" s="8" t="s">
        <v>840</v>
      </c>
      <c r="D322" s="8" t="s">
        <v>828</v>
      </c>
      <c r="E322" s="8" t="s">
        <v>841</v>
      </c>
      <c r="F322" s="9">
        <v>36831</v>
      </c>
      <c r="G322" s="10">
        <f t="shared" ca="1" si="4"/>
        <v>25.104109589041094</v>
      </c>
    </row>
    <row r="323" spans="1:7" x14ac:dyDescent="0.35">
      <c r="A323" s="8">
        <v>100013</v>
      </c>
      <c r="B323" s="8" t="s">
        <v>842</v>
      </c>
      <c r="C323" s="8" t="s">
        <v>843</v>
      </c>
      <c r="D323" s="8" t="s">
        <v>828</v>
      </c>
      <c r="E323" s="8" t="s">
        <v>844</v>
      </c>
      <c r="F323" s="9">
        <v>39770</v>
      </c>
      <c r="G323" s="10">
        <f t="shared" ca="1" si="4"/>
        <v>17.052054794520547</v>
      </c>
    </row>
    <row r="324" spans="1:7" x14ac:dyDescent="0.35">
      <c r="A324" s="8">
        <v>500599</v>
      </c>
      <c r="B324" s="8" t="s">
        <v>845</v>
      </c>
      <c r="C324" s="8" t="s">
        <v>846</v>
      </c>
      <c r="D324" s="8" t="s">
        <v>828</v>
      </c>
      <c r="E324" s="8" t="s">
        <v>847</v>
      </c>
      <c r="F324" s="9">
        <v>43467</v>
      </c>
      <c r="G324" s="10">
        <f t="shared" ca="1" si="4"/>
        <v>6.9232876712328766</v>
      </c>
    </row>
    <row r="325" spans="1:7" x14ac:dyDescent="0.35">
      <c r="A325" s="8">
        <v>447</v>
      </c>
      <c r="B325" s="8" t="s">
        <v>848</v>
      </c>
      <c r="C325" s="8" t="s">
        <v>849</v>
      </c>
      <c r="D325" s="8" t="s">
        <v>828</v>
      </c>
      <c r="E325" s="8" t="s">
        <v>850</v>
      </c>
      <c r="F325" s="9">
        <v>39370</v>
      </c>
      <c r="G325" s="10">
        <f t="shared" ref="G325:G388" ca="1" si="5">($G$1-F325)/365</f>
        <v>18.147945205479452</v>
      </c>
    </row>
    <row r="326" spans="1:7" x14ac:dyDescent="0.35">
      <c r="A326" s="8">
        <v>114</v>
      </c>
      <c r="B326" s="8" t="s">
        <v>851</v>
      </c>
      <c r="C326" s="8" t="s">
        <v>852</v>
      </c>
      <c r="D326" s="8" t="s">
        <v>828</v>
      </c>
      <c r="E326" s="8" t="s">
        <v>853</v>
      </c>
      <c r="F326" s="9">
        <v>37424</v>
      </c>
      <c r="G326" s="10">
        <f t="shared" ca="1" si="5"/>
        <v>23.479452054794521</v>
      </c>
    </row>
    <row r="327" spans="1:7" x14ac:dyDescent="0.35">
      <c r="A327" s="8">
        <v>100615</v>
      </c>
      <c r="B327" s="8" t="s">
        <v>854</v>
      </c>
      <c r="C327" s="8" t="s">
        <v>855</v>
      </c>
      <c r="D327" s="8" t="s">
        <v>828</v>
      </c>
      <c r="E327" s="8" t="s">
        <v>856</v>
      </c>
      <c r="F327" s="9">
        <v>40848</v>
      </c>
      <c r="G327" s="10">
        <f t="shared" ca="1" si="5"/>
        <v>14.098630136986301</v>
      </c>
    </row>
    <row r="328" spans="1:7" x14ac:dyDescent="0.35">
      <c r="A328" s="8">
        <v>502125</v>
      </c>
      <c r="B328" s="8" t="s">
        <v>857</v>
      </c>
      <c r="C328" s="8" t="s">
        <v>858</v>
      </c>
      <c r="D328" s="8" t="s">
        <v>859</v>
      </c>
      <c r="E328" s="8" t="s">
        <v>860</v>
      </c>
      <c r="F328" s="9">
        <v>45719</v>
      </c>
      <c r="G328" s="10">
        <f t="shared" ca="1" si="5"/>
        <v>0.75342465753424659</v>
      </c>
    </row>
    <row r="329" spans="1:7" x14ac:dyDescent="0.35">
      <c r="A329" s="5">
        <v>502517</v>
      </c>
      <c r="B329" s="5" t="s">
        <v>861</v>
      </c>
      <c r="C329" s="5" t="s">
        <v>119</v>
      </c>
      <c r="D329" s="5" t="s">
        <v>859</v>
      </c>
      <c r="E329" s="5" t="s">
        <v>862</v>
      </c>
      <c r="F329" s="6">
        <v>45936</v>
      </c>
      <c r="G329" s="7">
        <f t="shared" ca="1" si="5"/>
        <v>0.15890410958904111</v>
      </c>
    </row>
    <row r="330" spans="1:7" x14ac:dyDescent="0.35">
      <c r="A330" s="8">
        <v>502298</v>
      </c>
      <c r="B330" s="8" t="s">
        <v>863</v>
      </c>
      <c r="C330" s="8" t="s">
        <v>864</v>
      </c>
      <c r="D330" s="8" t="s">
        <v>859</v>
      </c>
      <c r="E330" s="8" t="s">
        <v>865</v>
      </c>
      <c r="F330" s="9">
        <v>45873</v>
      </c>
      <c r="G330" s="10">
        <f t="shared" ca="1" si="5"/>
        <v>0.33150684931506852</v>
      </c>
    </row>
    <row r="331" spans="1:7" x14ac:dyDescent="0.35">
      <c r="A331" s="8">
        <v>501724</v>
      </c>
      <c r="B331" s="8" t="s">
        <v>866</v>
      </c>
      <c r="C331" s="8" t="s">
        <v>867</v>
      </c>
      <c r="D331" s="8" t="s">
        <v>868</v>
      </c>
      <c r="E331" s="8" t="s">
        <v>869</v>
      </c>
      <c r="F331" s="9">
        <v>45246</v>
      </c>
      <c r="G331" s="10">
        <f t="shared" ca="1" si="5"/>
        <v>2.0493150684931507</v>
      </c>
    </row>
    <row r="332" spans="1:7" x14ac:dyDescent="0.35">
      <c r="A332" s="8">
        <v>501984</v>
      </c>
      <c r="B332" s="8" t="s">
        <v>870</v>
      </c>
      <c r="C332" s="8" t="s">
        <v>871</v>
      </c>
      <c r="D332" s="8" t="s">
        <v>868</v>
      </c>
      <c r="E332" s="8" t="s">
        <v>872</v>
      </c>
      <c r="F332" s="9">
        <v>45567</v>
      </c>
      <c r="G332" s="10">
        <f t="shared" ca="1" si="5"/>
        <v>1.1698630136986301</v>
      </c>
    </row>
    <row r="333" spans="1:7" x14ac:dyDescent="0.35">
      <c r="A333" s="8">
        <v>501976</v>
      </c>
      <c r="B333" s="8" t="s">
        <v>873</v>
      </c>
      <c r="C333" s="8" t="s">
        <v>874</v>
      </c>
      <c r="D333" s="8" t="s">
        <v>868</v>
      </c>
      <c r="E333" s="8" t="s">
        <v>875</v>
      </c>
      <c r="F333" s="9">
        <v>45552</v>
      </c>
      <c r="G333" s="10">
        <f t="shared" ca="1" si="5"/>
        <v>1.210958904109589</v>
      </c>
    </row>
    <row r="334" spans="1:7" x14ac:dyDescent="0.35">
      <c r="A334" s="8">
        <v>501763</v>
      </c>
      <c r="B334" s="8" t="s">
        <v>876</v>
      </c>
      <c r="C334" s="8" t="s">
        <v>877</v>
      </c>
      <c r="D334" s="8" t="s">
        <v>868</v>
      </c>
      <c r="E334" s="8" t="s">
        <v>878</v>
      </c>
      <c r="F334" s="9">
        <v>45328</v>
      </c>
      <c r="G334" s="10">
        <f t="shared" ca="1" si="5"/>
        <v>1.8246575342465754</v>
      </c>
    </row>
    <row r="335" spans="1:7" x14ac:dyDescent="0.35">
      <c r="A335" s="8">
        <v>501556</v>
      </c>
      <c r="B335" s="8" t="s">
        <v>879</v>
      </c>
      <c r="C335" s="8" t="s">
        <v>880</v>
      </c>
      <c r="D335" s="8" t="s">
        <v>868</v>
      </c>
      <c r="E335" s="8" t="s">
        <v>881</v>
      </c>
      <c r="F335" s="9">
        <v>44986</v>
      </c>
      <c r="G335" s="10">
        <f t="shared" ca="1" si="5"/>
        <v>2.7616438356164386</v>
      </c>
    </row>
    <row r="336" spans="1:7" x14ac:dyDescent="0.35">
      <c r="A336" s="8">
        <v>502374</v>
      </c>
      <c r="B336" s="8" t="s">
        <v>882</v>
      </c>
      <c r="C336" s="8" t="s">
        <v>883</v>
      </c>
      <c r="D336" s="8" t="s">
        <v>868</v>
      </c>
      <c r="E336" s="8" t="s">
        <v>884</v>
      </c>
      <c r="F336" s="9">
        <v>45894</v>
      </c>
      <c r="G336" s="10">
        <f t="shared" ca="1" si="5"/>
        <v>0.27397260273972601</v>
      </c>
    </row>
    <row r="337" spans="1:7" x14ac:dyDescent="0.35">
      <c r="A337" s="8">
        <v>501766</v>
      </c>
      <c r="B337" s="8" t="s">
        <v>885</v>
      </c>
      <c r="C337" s="8" t="s">
        <v>886</v>
      </c>
      <c r="D337" s="8" t="s">
        <v>868</v>
      </c>
      <c r="E337" s="8" t="s">
        <v>887</v>
      </c>
      <c r="F337" s="9">
        <v>45328</v>
      </c>
      <c r="G337" s="10">
        <f t="shared" ca="1" si="5"/>
        <v>1.8246575342465754</v>
      </c>
    </row>
    <row r="338" spans="1:7" x14ac:dyDescent="0.35">
      <c r="A338" s="8">
        <v>502388</v>
      </c>
      <c r="B338" s="8" t="s">
        <v>888</v>
      </c>
      <c r="C338" s="8" t="s">
        <v>119</v>
      </c>
      <c r="D338" s="8" t="s">
        <v>868</v>
      </c>
      <c r="E338" s="8" t="s">
        <v>889</v>
      </c>
      <c r="F338" s="9">
        <v>45901</v>
      </c>
      <c r="G338" s="10">
        <f t="shared" ca="1" si="5"/>
        <v>0.25479452054794521</v>
      </c>
    </row>
    <row r="339" spans="1:7" x14ac:dyDescent="0.35">
      <c r="A339" s="8">
        <v>500843</v>
      </c>
      <c r="B339" s="8" t="s">
        <v>890</v>
      </c>
      <c r="C339" s="8" t="s">
        <v>891</v>
      </c>
      <c r="D339" s="8" t="s">
        <v>868</v>
      </c>
      <c r="E339" s="8" t="s">
        <v>892</v>
      </c>
      <c r="F339" s="9">
        <v>43788</v>
      </c>
      <c r="G339" s="10">
        <f t="shared" ca="1" si="5"/>
        <v>6.043835616438356</v>
      </c>
    </row>
    <row r="340" spans="1:7" x14ac:dyDescent="0.35">
      <c r="A340" s="8">
        <v>500839</v>
      </c>
      <c r="B340" s="8" t="s">
        <v>893</v>
      </c>
      <c r="C340" s="8" t="s">
        <v>894</v>
      </c>
      <c r="D340" s="8" t="s">
        <v>868</v>
      </c>
      <c r="E340" s="8" t="s">
        <v>895</v>
      </c>
      <c r="F340" s="9">
        <v>43788</v>
      </c>
      <c r="G340" s="10">
        <f t="shared" ca="1" si="5"/>
        <v>6.043835616438356</v>
      </c>
    </row>
    <row r="341" spans="1:7" x14ac:dyDescent="0.35">
      <c r="A341" s="8">
        <v>501759</v>
      </c>
      <c r="B341" s="8" t="s">
        <v>896</v>
      </c>
      <c r="C341" s="8" t="s">
        <v>897</v>
      </c>
      <c r="D341" s="8" t="s">
        <v>868</v>
      </c>
      <c r="E341" s="8" t="s">
        <v>898</v>
      </c>
      <c r="F341" s="9">
        <v>45313</v>
      </c>
      <c r="G341" s="10">
        <f t="shared" ca="1" si="5"/>
        <v>1.8657534246575342</v>
      </c>
    </row>
    <row r="342" spans="1:7" x14ac:dyDescent="0.35">
      <c r="A342" s="8">
        <v>501509</v>
      </c>
      <c r="B342" s="8" t="s">
        <v>899</v>
      </c>
      <c r="C342" s="8" t="s">
        <v>900</v>
      </c>
      <c r="D342" s="8" t="s">
        <v>868</v>
      </c>
      <c r="E342" s="8" t="s">
        <v>901</v>
      </c>
      <c r="F342" s="9">
        <v>44896</v>
      </c>
      <c r="G342" s="10">
        <f t="shared" ca="1" si="5"/>
        <v>3.0082191780821916</v>
      </c>
    </row>
    <row r="343" spans="1:7" x14ac:dyDescent="0.35">
      <c r="A343" s="8">
        <v>501758</v>
      </c>
      <c r="B343" s="8" t="s">
        <v>902</v>
      </c>
      <c r="C343" s="8" t="s">
        <v>903</v>
      </c>
      <c r="D343" s="8" t="s">
        <v>868</v>
      </c>
      <c r="E343" s="8" t="s">
        <v>904</v>
      </c>
      <c r="F343" s="9">
        <v>45313</v>
      </c>
      <c r="G343" s="10">
        <f t="shared" ca="1" si="5"/>
        <v>1.8657534246575342</v>
      </c>
    </row>
    <row r="344" spans="1:7" x14ac:dyDescent="0.35">
      <c r="A344" s="8">
        <v>501760</v>
      </c>
      <c r="B344" s="8" t="s">
        <v>905</v>
      </c>
      <c r="C344" s="8" t="s">
        <v>906</v>
      </c>
      <c r="D344" s="8" t="s">
        <v>868</v>
      </c>
      <c r="E344" s="8" t="s">
        <v>907</v>
      </c>
      <c r="F344" s="9">
        <v>45313</v>
      </c>
      <c r="G344" s="10">
        <f t="shared" ca="1" si="5"/>
        <v>1.8657534246575342</v>
      </c>
    </row>
    <row r="345" spans="1:7" x14ac:dyDescent="0.35">
      <c r="A345" s="8">
        <v>501761</v>
      </c>
      <c r="B345" s="8" t="s">
        <v>908</v>
      </c>
      <c r="C345" s="8" t="s">
        <v>909</v>
      </c>
      <c r="D345" s="8" t="s">
        <v>868</v>
      </c>
      <c r="E345" s="8" t="s">
        <v>910</v>
      </c>
      <c r="F345" s="9">
        <v>45313</v>
      </c>
      <c r="G345" s="10">
        <f t="shared" ca="1" si="5"/>
        <v>1.8657534246575342</v>
      </c>
    </row>
    <row r="346" spans="1:7" x14ac:dyDescent="0.35">
      <c r="A346" s="8">
        <v>501369</v>
      </c>
      <c r="B346" s="8" t="s">
        <v>911</v>
      </c>
      <c r="C346" s="8" t="s">
        <v>912</v>
      </c>
      <c r="D346" s="8" t="s">
        <v>913</v>
      </c>
      <c r="E346" s="8" t="s">
        <v>914</v>
      </c>
      <c r="F346" s="9">
        <v>45236</v>
      </c>
      <c r="G346" s="10">
        <f t="shared" ca="1" si="5"/>
        <v>2.0767123287671234</v>
      </c>
    </row>
    <row r="347" spans="1:7" x14ac:dyDescent="0.35">
      <c r="A347" s="8">
        <v>196</v>
      </c>
      <c r="B347" s="8" t="s">
        <v>915</v>
      </c>
      <c r="C347" s="8" t="s">
        <v>142</v>
      </c>
      <c r="D347" s="8" t="s">
        <v>913</v>
      </c>
      <c r="E347" s="8" t="s">
        <v>916</v>
      </c>
      <c r="F347" s="9">
        <v>38992</v>
      </c>
      <c r="G347" s="10">
        <f t="shared" ca="1" si="5"/>
        <v>19.183561643835617</v>
      </c>
    </row>
    <row r="348" spans="1:7" x14ac:dyDescent="0.35">
      <c r="A348" s="8">
        <v>501764</v>
      </c>
      <c r="B348" s="8" t="s">
        <v>917</v>
      </c>
      <c r="C348" s="8" t="s">
        <v>918</v>
      </c>
      <c r="D348" s="8" t="s">
        <v>913</v>
      </c>
      <c r="E348" s="8" t="s">
        <v>919</v>
      </c>
      <c r="F348" s="9">
        <v>45328</v>
      </c>
      <c r="G348" s="10">
        <f t="shared" ca="1" si="5"/>
        <v>1.8246575342465754</v>
      </c>
    </row>
    <row r="349" spans="1:7" x14ac:dyDescent="0.35">
      <c r="A349" s="8">
        <v>502212</v>
      </c>
      <c r="B349" s="8" t="s">
        <v>920</v>
      </c>
      <c r="C349" s="8" t="s">
        <v>921</v>
      </c>
      <c r="D349" s="8" t="s">
        <v>913</v>
      </c>
      <c r="E349" s="8" t="s">
        <v>922</v>
      </c>
      <c r="F349" s="9">
        <v>45796</v>
      </c>
      <c r="G349" s="10">
        <f t="shared" ca="1" si="5"/>
        <v>0.54246575342465753</v>
      </c>
    </row>
    <row r="350" spans="1:7" x14ac:dyDescent="0.35">
      <c r="A350" s="8">
        <v>500583</v>
      </c>
      <c r="B350" s="8" t="s">
        <v>923</v>
      </c>
      <c r="C350" s="8" t="s">
        <v>924</v>
      </c>
      <c r="D350" s="8" t="s">
        <v>913</v>
      </c>
      <c r="E350" s="8" t="s">
        <v>925</v>
      </c>
      <c r="F350" s="9">
        <v>45734</v>
      </c>
      <c r="G350" s="10">
        <f t="shared" ca="1" si="5"/>
        <v>0.71232876712328763</v>
      </c>
    </row>
    <row r="351" spans="1:7" x14ac:dyDescent="0.35">
      <c r="A351" s="8">
        <v>101532</v>
      </c>
      <c r="B351" s="8" t="s">
        <v>926</v>
      </c>
      <c r="C351" s="8" t="s">
        <v>927</v>
      </c>
      <c r="D351" s="8" t="s">
        <v>913</v>
      </c>
      <c r="E351" s="8" t="s">
        <v>928</v>
      </c>
      <c r="F351" s="9">
        <v>42402</v>
      </c>
      <c r="G351" s="10">
        <f t="shared" ca="1" si="5"/>
        <v>9.8410958904109584</v>
      </c>
    </row>
    <row r="352" spans="1:7" x14ac:dyDescent="0.35">
      <c r="A352" s="8">
        <v>502077</v>
      </c>
      <c r="B352" s="8" t="s">
        <v>929</v>
      </c>
      <c r="C352" s="8" t="s">
        <v>930</v>
      </c>
      <c r="D352" s="8" t="s">
        <v>913</v>
      </c>
      <c r="E352" s="8" t="s">
        <v>931</v>
      </c>
      <c r="F352" s="9">
        <v>45642</v>
      </c>
      <c r="G352" s="10">
        <f t="shared" ca="1" si="5"/>
        <v>0.96438356164383565</v>
      </c>
    </row>
    <row r="353" spans="1:7" x14ac:dyDescent="0.35">
      <c r="A353" s="8">
        <v>502096</v>
      </c>
      <c r="B353" s="8" t="s">
        <v>932</v>
      </c>
      <c r="C353" s="8" t="s">
        <v>933</v>
      </c>
      <c r="D353" s="8" t="s">
        <v>913</v>
      </c>
      <c r="E353" s="8" t="s">
        <v>934</v>
      </c>
      <c r="F353" s="9">
        <v>45692</v>
      </c>
      <c r="G353" s="10">
        <f t="shared" ca="1" si="5"/>
        <v>0.82739726027397265</v>
      </c>
    </row>
    <row r="354" spans="1:7" x14ac:dyDescent="0.35">
      <c r="A354" s="8">
        <v>502145</v>
      </c>
      <c r="B354" s="8" t="s">
        <v>935</v>
      </c>
      <c r="C354" s="8" t="s">
        <v>936</v>
      </c>
      <c r="D354" s="8" t="s">
        <v>913</v>
      </c>
      <c r="E354" s="8" t="s">
        <v>937</v>
      </c>
      <c r="F354" s="9">
        <v>45748</v>
      </c>
      <c r="G354" s="10">
        <f t="shared" ca="1" si="5"/>
        <v>0.67397260273972603</v>
      </c>
    </row>
    <row r="355" spans="1:7" x14ac:dyDescent="0.35">
      <c r="A355" s="8">
        <v>501270</v>
      </c>
      <c r="B355" s="8" t="s">
        <v>938</v>
      </c>
      <c r="C355" s="8" t="s">
        <v>939</v>
      </c>
      <c r="D355" s="8" t="s">
        <v>913</v>
      </c>
      <c r="E355" s="8" t="s">
        <v>940</v>
      </c>
      <c r="F355" s="9">
        <v>44503</v>
      </c>
      <c r="G355" s="10">
        <f t="shared" ca="1" si="5"/>
        <v>4.0849315068493155</v>
      </c>
    </row>
    <row r="356" spans="1:7" x14ac:dyDescent="0.35">
      <c r="A356" s="8">
        <v>501566</v>
      </c>
      <c r="B356" s="8" t="s">
        <v>941</v>
      </c>
      <c r="C356" s="8" t="s">
        <v>942</v>
      </c>
      <c r="D356" s="8" t="s">
        <v>913</v>
      </c>
      <c r="E356" s="8" t="s">
        <v>943</v>
      </c>
      <c r="F356" s="9">
        <v>45001</v>
      </c>
      <c r="G356" s="10">
        <f t="shared" ca="1" si="5"/>
        <v>2.7205479452054795</v>
      </c>
    </row>
    <row r="357" spans="1:7" x14ac:dyDescent="0.35">
      <c r="A357" s="8">
        <v>100527</v>
      </c>
      <c r="B357" s="8" t="s">
        <v>944</v>
      </c>
      <c r="C357" s="8" t="s">
        <v>945</v>
      </c>
      <c r="D357" s="8" t="s">
        <v>913</v>
      </c>
      <c r="E357" s="8" t="s">
        <v>946</v>
      </c>
      <c r="F357" s="9">
        <v>40721</v>
      </c>
      <c r="G357" s="10">
        <f t="shared" ca="1" si="5"/>
        <v>14.446575342465753</v>
      </c>
    </row>
    <row r="358" spans="1:7" x14ac:dyDescent="0.35">
      <c r="A358" s="8">
        <v>500957</v>
      </c>
      <c r="B358" s="8" t="s">
        <v>947</v>
      </c>
      <c r="C358" s="8" t="s">
        <v>948</v>
      </c>
      <c r="D358" s="8" t="s">
        <v>913</v>
      </c>
      <c r="E358" s="8" t="s">
        <v>949</v>
      </c>
      <c r="F358" s="9">
        <v>44116</v>
      </c>
      <c r="G358" s="10">
        <f t="shared" ca="1" si="5"/>
        <v>5.1452054794520548</v>
      </c>
    </row>
    <row r="359" spans="1:7" x14ac:dyDescent="0.35">
      <c r="A359" s="8">
        <v>502291</v>
      </c>
      <c r="B359" s="8" t="s">
        <v>950</v>
      </c>
      <c r="C359" s="8" t="s">
        <v>942</v>
      </c>
      <c r="D359" s="8" t="s">
        <v>913</v>
      </c>
      <c r="E359" s="8" t="s">
        <v>951</v>
      </c>
      <c r="F359" s="9">
        <v>45873</v>
      </c>
      <c r="G359" s="10">
        <f t="shared" ca="1" si="5"/>
        <v>0.33150684931506852</v>
      </c>
    </row>
    <row r="360" spans="1:7" x14ac:dyDescent="0.35">
      <c r="A360" s="8">
        <v>188</v>
      </c>
      <c r="B360" s="8" t="s">
        <v>952</v>
      </c>
      <c r="C360" s="8" t="s">
        <v>953</v>
      </c>
      <c r="D360" s="8" t="s">
        <v>913</v>
      </c>
      <c r="E360" s="8" t="s">
        <v>954</v>
      </c>
      <c r="F360" s="9">
        <v>38961</v>
      </c>
      <c r="G360" s="10">
        <f t="shared" ca="1" si="5"/>
        <v>19.268493150684932</v>
      </c>
    </row>
    <row r="361" spans="1:7" x14ac:dyDescent="0.35">
      <c r="A361" s="8">
        <v>500634</v>
      </c>
      <c r="B361" s="8" t="s">
        <v>955</v>
      </c>
      <c r="C361" s="8" t="s">
        <v>956</v>
      </c>
      <c r="D361" s="8" t="s">
        <v>913</v>
      </c>
      <c r="E361" s="8" t="s">
        <v>957</v>
      </c>
      <c r="F361" s="9">
        <v>43528</v>
      </c>
      <c r="G361" s="10">
        <f t="shared" ca="1" si="5"/>
        <v>6.7561643835616438</v>
      </c>
    </row>
    <row r="362" spans="1:7" x14ac:dyDescent="0.35">
      <c r="A362" s="8">
        <v>181</v>
      </c>
      <c r="B362" s="8" t="s">
        <v>958</v>
      </c>
      <c r="C362" s="8" t="s">
        <v>959</v>
      </c>
      <c r="D362" s="8" t="s">
        <v>913</v>
      </c>
      <c r="E362" s="8" t="s">
        <v>960</v>
      </c>
      <c r="F362" s="9">
        <v>38930</v>
      </c>
      <c r="G362" s="10">
        <f t="shared" ca="1" si="5"/>
        <v>19.353424657534248</v>
      </c>
    </row>
    <row r="363" spans="1:7" x14ac:dyDescent="0.35">
      <c r="A363" s="8">
        <v>501661</v>
      </c>
      <c r="B363" s="8" t="s">
        <v>961</v>
      </c>
      <c r="C363" s="8" t="s">
        <v>962</v>
      </c>
      <c r="D363" s="8" t="s">
        <v>913</v>
      </c>
      <c r="E363" s="8" t="s">
        <v>963</v>
      </c>
      <c r="F363" s="9">
        <v>45154</v>
      </c>
      <c r="G363" s="10">
        <f t="shared" ca="1" si="5"/>
        <v>2.3013698630136985</v>
      </c>
    </row>
    <row r="364" spans="1:7" x14ac:dyDescent="0.35">
      <c r="A364" s="8">
        <v>101115</v>
      </c>
      <c r="B364" s="8" t="s">
        <v>964</v>
      </c>
      <c r="C364" s="8" t="s">
        <v>965</v>
      </c>
      <c r="D364" s="8" t="s">
        <v>913</v>
      </c>
      <c r="E364" s="8" t="s">
        <v>966</v>
      </c>
      <c r="F364" s="9">
        <v>41808</v>
      </c>
      <c r="G364" s="10">
        <f t="shared" ca="1" si="5"/>
        <v>11.468493150684932</v>
      </c>
    </row>
    <row r="365" spans="1:7" x14ac:dyDescent="0.35">
      <c r="A365" s="8">
        <v>840</v>
      </c>
      <c r="B365" s="8" t="s">
        <v>967</v>
      </c>
      <c r="C365" s="8" t="s">
        <v>968</v>
      </c>
      <c r="D365" s="8" t="s">
        <v>913</v>
      </c>
      <c r="E365" s="8" t="s">
        <v>969</v>
      </c>
      <c r="F365" s="9">
        <v>39601</v>
      </c>
      <c r="G365" s="10">
        <f t="shared" ca="1" si="5"/>
        <v>17.515068493150686</v>
      </c>
    </row>
    <row r="366" spans="1:7" x14ac:dyDescent="0.35">
      <c r="A366" s="8">
        <v>100779</v>
      </c>
      <c r="B366" s="8" t="s">
        <v>970</v>
      </c>
      <c r="C366" s="8" t="s">
        <v>971</v>
      </c>
      <c r="D366" s="8" t="s">
        <v>913</v>
      </c>
      <c r="E366" s="8" t="s">
        <v>972</v>
      </c>
      <c r="F366" s="9">
        <v>45810</v>
      </c>
      <c r="G366" s="10">
        <f t="shared" ca="1" si="5"/>
        <v>0.50410958904109593</v>
      </c>
    </row>
    <row r="367" spans="1:7" x14ac:dyDescent="0.35">
      <c r="A367" s="5">
        <v>502521</v>
      </c>
      <c r="B367" s="5" t="s">
        <v>973</v>
      </c>
      <c r="C367" s="5" t="s">
        <v>971</v>
      </c>
      <c r="D367" s="5" t="s">
        <v>913</v>
      </c>
      <c r="E367" s="5" t="s">
        <v>974</v>
      </c>
      <c r="F367" s="6">
        <v>45950</v>
      </c>
      <c r="G367" s="7">
        <f t="shared" ca="1" si="5"/>
        <v>0.12054794520547946</v>
      </c>
    </row>
    <row r="368" spans="1:7" x14ac:dyDescent="0.35">
      <c r="A368" s="8">
        <v>209</v>
      </c>
      <c r="B368" s="8" t="s">
        <v>975</v>
      </c>
      <c r="C368" s="8" t="s">
        <v>976</v>
      </c>
      <c r="D368" s="8" t="s">
        <v>913</v>
      </c>
      <c r="E368" s="8" t="s">
        <v>977</v>
      </c>
      <c r="F368" s="9">
        <v>39028</v>
      </c>
      <c r="G368" s="10">
        <f t="shared" ca="1" si="5"/>
        <v>19.084931506849315</v>
      </c>
    </row>
    <row r="369" spans="1:7" x14ac:dyDescent="0.35">
      <c r="A369" s="8">
        <v>501354</v>
      </c>
      <c r="B369" s="8" t="s">
        <v>978</v>
      </c>
      <c r="C369" s="8" t="s">
        <v>979</v>
      </c>
      <c r="D369" s="8" t="s">
        <v>913</v>
      </c>
      <c r="E369" s="8" t="s">
        <v>980</v>
      </c>
      <c r="F369" s="9">
        <v>44669</v>
      </c>
      <c r="G369" s="10">
        <f t="shared" ca="1" si="5"/>
        <v>3.6301369863013697</v>
      </c>
    </row>
    <row r="370" spans="1:7" x14ac:dyDescent="0.35">
      <c r="A370" s="8">
        <v>219</v>
      </c>
      <c r="B370" s="8" t="s">
        <v>981</v>
      </c>
      <c r="C370" s="8" t="s">
        <v>979</v>
      </c>
      <c r="D370" s="8" t="s">
        <v>913</v>
      </c>
      <c r="E370" s="8" t="s">
        <v>982</v>
      </c>
      <c r="F370" s="9">
        <v>39042</v>
      </c>
      <c r="G370" s="10">
        <f t="shared" ca="1" si="5"/>
        <v>19.046575342465754</v>
      </c>
    </row>
    <row r="371" spans="1:7" x14ac:dyDescent="0.35">
      <c r="A371" s="8">
        <v>419</v>
      </c>
      <c r="B371" s="8" t="s">
        <v>983</v>
      </c>
      <c r="C371" s="8" t="s">
        <v>984</v>
      </c>
      <c r="D371" s="8" t="s">
        <v>913</v>
      </c>
      <c r="E371" s="8" t="s">
        <v>985</v>
      </c>
      <c r="F371" s="9">
        <v>39328</v>
      </c>
      <c r="G371" s="10">
        <f t="shared" ca="1" si="5"/>
        <v>18.263013698630136</v>
      </c>
    </row>
    <row r="372" spans="1:7" x14ac:dyDescent="0.35">
      <c r="A372" s="8">
        <v>501338</v>
      </c>
      <c r="B372" s="8" t="s">
        <v>986</v>
      </c>
      <c r="C372" s="8" t="s">
        <v>987</v>
      </c>
      <c r="D372" s="8" t="s">
        <v>913</v>
      </c>
      <c r="E372" s="8" t="s">
        <v>988</v>
      </c>
      <c r="F372" s="9">
        <v>44655</v>
      </c>
      <c r="G372" s="10">
        <f t="shared" ca="1" si="5"/>
        <v>3.6684931506849314</v>
      </c>
    </row>
    <row r="373" spans="1:7" x14ac:dyDescent="0.35">
      <c r="A373" s="8">
        <v>1719</v>
      </c>
      <c r="B373" s="8" t="s">
        <v>989</v>
      </c>
      <c r="C373" s="8" t="s">
        <v>987</v>
      </c>
      <c r="D373" s="8" t="s">
        <v>913</v>
      </c>
      <c r="E373" s="8" t="s">
        <v>990</v>
      </c>
      <c r="F373" s="9">
        <v>42767</v>
      </c>
      <c r="G373" s="10">
        <f t="shared" ca="1" si="5"/>
        <v>8.8410958904109584</v>
      </c>
    </row>
    <row r="374" spans="1:7" x14ac:dyDescent="0.35">
      <c r="A374" s="8">
        <v>101010</v>
      </c>
      <c r="B374" s="8" t="s">
        <v>991</v>
      </c>
      <c r="C374" s="8" t="s">
        <v>992</v>
      </c>
      <c r="D374" s="8" t="s">
        <v>913</v>
      </c>
      <c r="E374" s="8" t="s">
        <v>993</v>
      </c>
      <c r="F374" s="9">
        <v>41655</v>
      </c>
      <c r="G374" s="10">
        <f t="shared" ca="1" si="5"/>
        <v>11.887671232876713</v>
      </c>
    </row>
    <row r="375" spans="1:7" x14ac:dyDescent="0.35">
      <c r="A375" s="8">
        <v>101290</v>
      </c>
      <c r="B375" s="8" t="s">
        <v>994</v>
      </c>
      <c r="C375" s="8" t="s">
        <v>992</v>
      </c>
      <c r="D375" s="8" t="s">
        <v>913</v>
      </c>
      <c r="E375" s="8" t="s">
        <v>995</v>
      </c>
      <c r="F375" s="9">
        <v>42065</v>
      </c>
      <c r="G375" s="10">
        <f t="shared" ca="1" si="5"/>
        <v>10.764383561643836</v>
      </c>
    </row>
    <row r="376" spans="1:7" x14ac:dyDescent="0.35">
      <c r="A376" s="8">
        <v>501237</v>
      </c>
      <c r="B376" s="8" t="s">
        <v>996</v>
      </c>
      <c r="C376" s="8" t="s">
        <v>997</v>
      </c>
      <c r="D376" s="8" t="s">
        <v>913</v>
      </c>
      <c r="E376" s="8" t="s">
        <v>998</v>
      </c>
      <c r="F376" s="9">
        <v>44410</v>
      </c>
      <c r="G376" s="10">
        <f t="shared" ca="1" si="5"/>
        <v>4.3397260273972602</v>
      </c>
    </row>
    <row r="377" spans="1:7" x14ac:dyDescent="0.35">
      <c r="A377" s="8">
        <v>1764</v>
      </c>
      <c r="B377" s="8" t="s">
        <v>999</v>
      </c>
      <c r="C377" s="8" t="s">
        <v>1000</v>
      </c>
      <c r="D377" s="8" t="s">
        <v>913</v>
      </c>
      <c r="E377" s="8" t="s">
        <v>1001</v>
      </c>
      <c r="F377" s="9">
        <v>42810</v>
      </c>
      <c r="G377" s="10">
        <f t="shared" ca="1" si="5"/>
        <v>8.7232876712328764</v>
      </c>
    </row>
    <row r="378" spans="1:7" x14ac:dyDescent="0.35">
      <c r="A378" s="8">
        <v>501478</v>
      </c>
      <c r="B378" s="8" t="s">
        <v>1002</v>
      </c>
      <c r="C378" s="8" t="s">
        <v>1000</v>
      </c>
      <c r="D378" s="8" t="s">
        <v>913</v>
      </c>
      <c r="E378" s="8" t="s">
        <v>1003</v>
      </c>
      <c r="F378" s="9">
        <v>44837</v>
      </c>
      <c r="G378" s="10">
        <f t="shared" ca="1" si="5"/>
        <v>3.1698630136986301</v>
      </c>
    </row>
    <row r="379" spans="1:7" x14ac:dyDescent="0.35">
      <c r="A379" s="8">
        <v>500566</v>
      </c>
      <c r="B379" s="8" t="s">
        <v>1004</v>
      </c>
      <c r="C379" s="8" t="s">
        <v>992</v>
      </c>
      <c r="D379" s="8" t="s">
        <v>913</v>
      </c>
      <c r="E379" s="8" t="s">
        <v>1005</v>
      </c>
      <c r="F379" s="9">
        <v>43402</v>
      </c>
      <c r="G379" s="10">
        <f t="shared" ca="1" si="5"/>
        <v>7.1013698630136988</v>
      </c>
    </row>
    <row r="380" spans="1:7" x14ac:dyDescent="0.35">
      <c r="A380" s="8">
        <v>500455</v>
      </c>
      <c r="B380" s="8" t="s">
        <v>1006</v>
      </c>
      <c r="C380" s="8" t="s">
        <v>987</v>
      </c>
      <c r="D380" s="8" t="s">
        <v>913</v>
      </c>
      <c r="E380" s="8" t="s">
        <v>1007</v>
      </c>
      <c r="F380" s="9">
        <v>43255</v>
      </c>
      <c r="G380" s="10">
        <f t="shared" ca="1" si="5"/>
        <v>7.5041095890410956</v>
      </c>
    </row>
    <row r="381" spans="1:7" x14ac:dyDescent="0.35">
      <c r="A381" s="8">
        <v>501643</v>
      </c>
      <c r="B381" s="8" t="s">
        <v>1008</v>
      </c>
      <c r="C381" s="8" t="s">
        <v>1000</v>
      </c>
      <c r="D381" s="8" t="s">
        <v>913</v>
      </c>
      <c r="E381" s="8" t="s">
        <v>1009</v>
      </c>
      <c r="F381" s="9">
        <v>45124</v>
      </c>
      <c r="G381" s="10">
        <f t="shared" ca="1" si="5"/>
        <v>2.3835616438356166</v>
      </c>
    </row>
    <row r="382" spans="1:7" x14ac:dyDescent="0.35">
      <c r="A382" s="8">
        <v>100502</v>
      </c>
      <c r="B382" s="8" t="s">
        <v>1010</v>
      </c>
      <c r="C382" s="8" t="s">
        <v>992</v>
      </c>
      <c r="D382" s="8" t="s">
        <v>913</v>
      </c>
      <c r="E382" s="8" t="s">
        <v>1011</v>
      </c>
      <c r="F382" s="9">
        <v>40695</v>
      </c>
      <c r="G382" s="10">
        <f t="shared" ca="1" si="5"/>
        <v>14.517808219178082</v>
      </c>
    </row>
    <row r="383" spans="1:7" x14ac:dyDescent="0.35">
      <c r="A383" s="8">
        <v>502115</v>
      </c>
      <c r="B383" s="8" t="s">
        <v>1012</v>
      </c>
      <c r="C383" s="8" t="s">
        <v>1013</v>
      </c>
      <c r="D383" s="8" t="s">
        <v>913</v>
      </c>
      <c r="E383" s="8" t="s">
        <v>1014</v>
      </c>
      <c r="F383" s="9">
        <v>45705</v>
      </c>
      <c r="G383" s="10">
        <f t="shared" ca="1" si="5"/>
        <v>0.79178082191780819</v>
      </c>
    </row>
    <row r="384" spans="1:7" x14ac:dyDescent="0.35">
      <c r="A384" s="5">
        <v>502527</v>
      </c>
      <c r="B384" s="5" t="s">
        <v>1015</v>
      </c>
      <c r="C384" s="5" t="s">
        <v>1016</v>
      </c>
      <c r="D384" s="5" t="s">
        <v>913</v>
      </c>
      <c r="E384" s="5" t="s">
        <v>1017</v>
      </c>
      <c r="F384" s="6">
        <v>45950</v>
      </c>
      <c r="G384" s="7">
        <f t="shared" ca="1" si="5"/>
        <v>0.12054794520547946</v>
      </c>
    </row>
    <row r="385" spans="1:7" x14ac:dyDescent="0.35">
      <c r="A385" s="8">
        <v>500913</v>
      </c>
      <c r="B385" s="8" t="s">
        <v>1018</v>
      </c>
      <c r="C385" s="8" t="s">
        <v>1000</v>
      </c>
      <c r="D385" s="8" t="s">
        <v>913</v>
      </c>
      <c r="E385" s="8" t="s">
        <v>1019</v>
      </c>
      <c r="F385" s="9">
        <v>43907</v>
      </c>
      <c r="G385" s="10">
        <f t="shared" ca="1" si="5"/>
        <v>5.7178082191780826</v>
      </c>
    </row>
    <row r="386" spans="1:7" x14ac:dyDescent="0.35">
      <c r="A386" s="8">
        <v>502256</v>
      </c>
      <c r="B386" s="8" t="s">
        <v>1020</v>
      </c>
      <c r="C386" s="8" t="s">
        <v>1013</v>
      </c>
      <c r="D386" s="8" t="s">
        <v>913</v>
      </c>
      <c r="E386" s="8" t="s">
        <v>1021</v>
      </c>
      <c r="F386" s="9">
        <v>45824</v>
      </c>
      <c r="G386" s="10">
        <f t="shared" ca="1" si="5"/>
        <v>0.46575342465753422</v>
      </c>
    </row>
    <row r="387" spans="1:7" x14ac:dyDescent="0.35">
      <c r="A387" s="8">
        <v>502263</v>
      </c>
      <c r="B387" s="8" t="s">
        <v>1022</v>
      </c>
      <c r="C387" s="8" t="s">
        <v>1013</v>
      </c>
      <c r="D387" s="8" t="s">
        <v>913</v>
      </c>
      <c r="E387" s="8" t="s">
        <v>1023</v>
      </c>
      <c r="F387" s="9">
        <v>45845</v>
      </c>
      <c r="G387" s="10">
        <f t="shared" ca="1" si="5"/>
        <v>0.40821917808219177</v>
      </c>
    </row>
    <row r="388" spans="1:7" x14ac:dyDescent="0.35">
      <c r="A388" s="8">
        <v>501786</v>
      </c>
      <c r="B388" s="8" t="s">
        <v>1024</v>
      </c>
      <c r="C388" s="8" t="s">
        <v>1025</v>
      </c>
      <c r="D388" s="8" t="s">
        <v>913</v>
      </c>
      <c r="E388" s="8" t="s">
        <v>1026</v>
      </c>
      <c r="F388" s="9">
        <v>45355</v>
      </c>
      <c r="G388" s="10">
        <f t="shared" ca="1" si="5"/>
        <v>1.7506849315068493</v>
      </c>
    </row>
    <row r="389" spans="1:7" x14ac:dyDescent="0.35">
      <c r="A389" s="5">
        <v>502522</v>
      </c>
      <c r="B389" s="5" t="s">
        <v>1027</v>
      </c>
      <c r="C389" s="5" t="s">
        <v>1013</v>
      </c>
      <c r="D389" s="5" t="s">
        <v>913</v>
      </c>
      <c r="E389" s="5" t="s">
        <v>1028</v>
      </c>
      <c r="F389" s="6">
        <v>45950</v>
      </c>
      <c r="G389" s="7">
        <f t="shared" ref="G389:G452" ca="1" si="6">($G$1-F389)/365</f>
        <v>0.12054794520547946</v>
      </c>
    </row>
    <row r="390" spans="1:7" x14ac:dyDescent="0.35">
      <c r="A390" s="8">
        <v>502222</v>
      </c>
      <c r="B390" s="8" t="s">
        <v>1029</v>
      </c>
      <c r="C390" s="8" t="s">
        <v>1013</v>
      </c>
      <c r="D390" s="8" t="s">
        <v>913</v>
      </c>
      <c r="E390" s="8" t="s">
        <v>1030</v>
      </c>
      <c r="F390" s="9">
        <v>45810</v>
      </c>
      <c r="G390" s="10">
        <f t="shared" ca="1" si="6"/>
        <v>0.50410958904109593</v>
      </c>
    </row>
    <row r="391" spans="1:7" x14ac:dyDescent="0.35">
      <c r="A391" s="8">
        <v>501433</v>
      </c>
      <c r="B391" s="8" t="s">
        <v>1031</v>
      </c>
      <c r="C391" s="8" t="s">
        <v>1025</v>
      </c>
      <c r="D391" s="8" t="s">
        <v>913</v>
      </c>
      <c r="E391" s="8" t="s">
        <v>1032</v>
      </c>
      <c r="F391" s="9">
        <v>44760</v>
      </c>
      <c r="G391" s="10">
        <f t="shared" ca="1" si="6"/>
        <v>3.3808219178082193</v>
      </c>
    </row>
    <row r="392" spans="1:7" x14ac:dyDescent="0.35">
      <c r="A392" s="8">
        <v>501784</v>
      </c>
      <c r="B392" s="8" t="s">
        <v>1033</v>
      </c>
      <c r="C392" s="8" t="s">
        <v>1013</v>
      </c>
      <c r="D392" s="8" t="s">
        <v>913</v>
      </c>
      <c r="E392" s="8" t="s">
        <v>1034</v>
      </c>
      <c r="F392" s="9">
        <v>45355</v>
      </c>
      <c r="G392" s="10">
        <f t="shared" ca="1" si="6"/>
        <v>1.7506849315068493</v>
      </c>
    </row>
    <row r="393" spans="1:7" x14ac:dyDescent="0.35">
      <c r="A393" s="8">
        <v>502072</v>
      </c>
      <c r="B393" s="8" t="s">
        <v>1035</v>
      </c>
      <c r="C393" s="8" t="s">
        <v>1025</v>
      </c>
      <c r="D393" s="8" t="s">
        <v>913</v>
      </c>
      <c r="E393" s="8" t="s">
        <v>1036</v>
      </c>
      <c r="F393" s="9">
        <v>45642</v>
      </c>
      <c r="G393" s="10">
        <f t="shared" ca="1" si="6"/>
        <v>0.96438356164383565</v>
      </c>
    </row>
    <row r="394" spans="1:7" x14ac:dyDescent="0.35">
      <c r="A394" s="8">
        <v>501235</v>
      </c>
      <c r="B394" s="8" t="s">
        <v>1037</v>
      </c>
      <c r="C394" s="8" t="s">
        <v>1013</v>
      </c>
      <c r="D394" s="8" t="s">
        <v>913</v>
      </c>
      <c r="E394" s="8" t="s">
        <v>1038</v>
      </c>
      <c r="F394" s="9">
        <v>44396</v>
      </c>
      <c r="G394" s="10">
        <f t="shared" ca="1" si="6"/>
        <v>4.3780821917808215</v>
      </c>
    </row>
    <row r="395" spans="1:7" x14ac:dyDescent="0.35">
      <c r="A395" s="8">
        <v>502091</v>
      </c>
      <c r="B395" s="8" t="s">
        <v>1039</v>
      </c>
      <c r="C395" s="8" t="s">
        <v>1013</v>
      </c>
      <c r="D395" s="8" t="s">
        <v>913</v>
      </c>
      <c r="E395" s="8" t="s">
        <v>1040</v>
      </c>
      <c r="F395" s="9">
        <v>45677</v>
      </c>
      <c r="G395" s="10">
        <f t="shared" ca="1" si="6"/>
        <v>0.86849315068493149</v>
      </c>
    </row>
    <row r="396" spans="1:7" x14ac:dyDescent="0.35">
      <c r="A396" s="8">
        <v>502221</v>
      </c>
      <c r="B396" s="8" t="s">
        <v>1041</v>
      </c>
      <c r="C396" s="8" t="s">
        <v>1013</v>
      </c>
      <c r="D396" s="8" t="s">
        <v>913</v>
      </c>
      <c r="E396" s="8" t="s">
        <v>1042</v>
      </c>
      <c r="F396" s="9">
        <v>45810</v>
      </c>
      <c r="G396" s="10">
        <f t="shared" ca="1" si="6"/>
        <v>0.50410958904109593</v>
      </c>
    </row>
    <row r="397" spans="1:7" x14ac:dyDescent="0.35">
      <c r="A397" s="8">
        <v>502090</v>
      </c>
      <c r="B397" s="8" t="s">
        <v>1043</v>
      </c>
      <c r="C397" s="8" t="s">
        <v>1025</v>
      </c>
      <c r="D397" s="8" t="s">
        <v>913</v>
      </c>
      <c r="E397" s="8" t="s">
        <v>1044</v>
      </c>
      <c r="F397" s="9">
        <v>45677</v>
      </c>
      <c r="G397" s="10">
        <f t="shared" ca="1" si="6"/>
        <v>0.86849315068493149</v>
      </c>
    </row>
    <row r="398" spans="1:7" x14ac:dyDescent="0.35">
      <c r="A398" s="5">
        <v>502524</v>
      </c>
      <c r="B398" s="5" t="s">
        <v>1045</v>
      </c>
      <c r="C398" s="5" t="s">
        <v>1013</v>
      </c>
      <c r="D398" s="5" t="s">
        <v>913</v>
      </c>
      <c r="E398" s="5" t="s">
        <v>1046</v>
      </c>
      <c r="F398" s="6">
        <v>45950</v>
      </c>
      <c r="G398" s="7">
        <f t="shared" ca="1" si="6"/>
        <v>0.12054794520547946</v>
      </c>
    </row>
    <row r="399" spans="1:7" x14ac:dyDescent="0.35">
      <c r="A399" s="8">
        <v>502150</v>
      </c>
      <c r="B399" s="8" t="s">
        <v>1047</v>
      </c>
      <c r="C399" s="8" t="s">
        <v>1013</v>
      </c>
      <c r="D399" s="8" t="s">
        <v>913</v>
      </c>
      <c r="E399" s="8" t="s">
        <v>1048</v>
      </c>
      <c r="F399" s="9">
        <v>45754</v>
      </c>
      <c r="G399" s="10">
        <f t="shared" ca="1" si="6"/>
        <v>0.65753424657534243</v>
      </c>
    </row>
    <row r="400" spans="1:7" x14ac:dyDescent="0.35">
      <c r="A400" s="8">
        <v>502220</v>
      </c>
      <c r="B400" s="8" t="s">
        <v>1049</v>
      </c>
      <c r="C400" s="8" t="s">
        <v>1013</v>
      </c>
      <c r="D400" s="8" t="s">
        <v>913</v>
      </c>
      <c r="E400" s="8" t="s">
        <v>1050</v>
      </c>
      <c r="F400" s="9">
        <v>45810</v>
      </c>
      <c r="G400" s="10">
        <f t="shared" ca="1" si="6"/>
        <v>0.50410958904109593</v>
      </c>
    </row>
    <row r="401" spans="1:7" x14ac:dyDescent="0.35">
      <c r="A401" s="8">
        <v>502101</v>
      </c>
      <c r="B401" s="8" t="s">
        <v>1051</v>
      </c>
      <c r="C401" s="8" t="s">
        <v>1013</v>
      </c>
      <c r="D401" s="8" t="s">
        <v>913</v>
      </c>
      <c r="E401" s="8" t="s">
        <v>1052</v>
      </c>
      <c r="F401" s="9">
        <v>45692</v>
      </c>
      <c r="G401" s="10">
        <f t="shared" ca="1" si="6"/>
        <v>0.82739726027397265</v>
      </c>
    </row>
    <row r="402" spans="1:7" x14ac:dyDescent="0.35">
      <c r="A402" s="8">
        <v>502016</v>
      </c>
      <c r="B402" s="8" t="s">
        <v>1053</v>
      </c>
      <c r="C402" s="8" t="s">
        <v>1054</v>
      </c>
      <c r="D402" s="8" t="s">
        <v>913</v>
      </c>
      <c r="E402" s="8" t="s">
        <v>1055</v>
      </c>
      <c r="F402" s="9">
        <v>45586</v>
      </c>
      <c r="G402" s="10">
        <f t="shared" ca="1" si="6"/>
        <v>1.1178082191780823</v>
      </c>
    </row>
    <row r="403" spans="1:7" x14ac:dyDescent="0.35">
      <c r="A403" s="8">
        <v>502207</v>
      </c>
      <c r="B403" s="8" t="s">
        <v>1056</v>
      </c>
      <c r="C403" s="8" t="s">
        <v>971</v>
      </c>
      <c r="D403" s="8" t="s">
        <v>913</v>
      </c>
      <c r="E403" s="8" t="s">
        <v>1057</v>
      </c>
      <c r="F403" s="9">
        <v>45796</v>
      </c>
      <c r="G403" s="10">
        <f t="shared" ca="1" si="6"/>
        <v>0.54246575342465753</v>
      </c>
    </row>
    <row r="404" spans="1:7" x14ac:dyDescent="0.35">
      <c r="A404" s="8">
        <v>501730</v>
      </c>
      <c r="B404" s="8" t="s">
        <v>1058</v>
      </c>
      <c r="C404" s="8" t="s">
        <v>1059</v>
      </c>
      <c r="D404" s="8" t="s">
        <v>913</v>
      </c>
      <c r="E404" s="8" t="s">
        <v>1060</v>
      </c>
      <c r="F404" s="9">
        <v>45264</v>
      </c>
      <c r="G404" s="10">
        <f t="shared" ca="1" si="6"/>
        <v>2</v>
      </c>
    </row>
    <row r="405" spans="1:7" x14ac:dyDescent="0.35">
      <c r="A405" s="8">
        <v>502031</v>
      </c>
      <c r="B405" s="8" t="s">
        <v>1061</v>
      </c>
      <c r="C405" s="8" t="s">
        <v>1062</v>
      </c>
      <c r="D405" s="8" t="s">
        <v>913</v>
      </c>
      <c r="E405" s="8" t="s">
        <v>1063</v>
      </c>
      <c r="F405" s="9">
        <v>45600</v>
      </c>
      <c r="G405" s="10">
        <f t="shared" ca="1" si="6"/>
        <v>1.0794520547945206</v>
      </c>
    </row>
    <row r="406" spans="1:7" x14ac:dyDescent="0.35">
      <c r="A406" s="8">
        <v>501832</v>
      </c>
      <c r="B406" s="8" t="s">
        <v>1064</v>
      </c>
      <c r="C406" s="8" t="s">
        <v>1065</v>
      </c>
      <c r="D406" s="8" t="s">
        <v>913</v>
      </c>
      <c r="E406" s="8" t="s">
        <v>1066</v>
      </c>
      <c r="F406" s="9">
        <v>45414</v>
      </c>
      <c r="G406" s="10">
        <f t="shared" ca="1" si="6"/>
        <v>1.5890410958904109</v>
      </c>
    </row>
    <row r="407" spans="1:7" x14ac:dyDescent="0.35">
      <c r="A407" s="8">
        <v>501803</v>
      </c>
      <c r="B407" s="8" t="s">
        <v>1067</v>
      </c>
      <c r="C407" s="8" t="s">
        <v>1065</v>
      </c>
      <c r="D407" s="8" t="s">
        <v>913</v>
      </c>
      <c r="E407" s="8" t="s">
        <v>1068</v>
      </c>
      <c r="F407" s="9">
        <v>45370</v>
      </c>
      <c r="G407" s="10">
        <f t="shared" ca="1" si="6"/>
        <v>1.7095890410958905</v>
      </c>
    </row>
    <row r="408" spans="1:7" x14ac:dyDescent="0.35">
      <c r="A408" s="5">
        <v>502491</v>
      </c>
      <c r="B408" s="5" t="s">
        <v>1069</v>
      </c>
      <c r="C408" s="5" t="s">
        <v>1070</v>
      </c>
      <c r="D408" s="5" t="s">
        <v>913</v>
      </c>
      <c r="E408" s="5" t="s">
        <v>1071</v>
      </c>
      <c r="F408" s="6">
        <v>45922</v>
      </c>
      <c r="G408" s="7">
        <f t="shared" ca="1" si="6"/>
        <v>0.19726027397260273</v>
      </c>
    </row>
    <row r="409" spans="1:7" x14ac:dyDescent="0.35">
      <c r="A409" s="8">
        <v>501986</v>
      </c>
      <c r="B409" s="8" t="s">
        <v>1072</v>
      </c>
      <c r="C409" s="8" t="s">
        <v>1073</v>
      </c>
      <c r="D409" s="8" t="s">
        <v>913</v>
      </c>
      <c r="E409" s="8" t="s">
        <v>1074</v>
      </c>
      <c r="F409" s="9">
        <v>45567</v>
      </c>
      <c r="G409" s="10">
        <f t="shared" ca="1" si="6"/>
        <v>1.1698630136986301</v>
      </c>
    </row>
    <row r="410" spans="1:7" x14ac:dyDescent="0.35">
      <c r="A410" s="8">
        <v>502344</v>
      </c>
      <c r="B410" s="8" t="s">
        <v>1075</v>
      </c>
      <c r="C410" s="8" t="s">
        <v>1076</v>
      </c>
      <c r="D410" s="8" t="s">
        <v>913</v>
      </c>
      <c r="E410" s="8" t="s">
        <v>1077</v>
      </c>
      <c r="F410" s="9">
        <v>45887</v>
      </c>
      <c r="G410" s="10">
        <f t="shared" ca="1" si="6"/>
        <v>0.29315068493150687</v>
      </c>
    </row>
    <row r="411" spans="1:7" x14ac:dyDescent="0.35">
      <c r="A411" s="8">
        <v>1683</v>
      </c>
      <c r="B411" s="8" t="s">
        <v>1078</v>
      </c>
      <c r="C411" s="8" t="s">
        <v>1076</v>
      </c>
      <c r="D411" s="8" t="s">
        <v>913</v>
      </c>
      <c r="E411" s="8" t="s">
        <v>1079</v>
      </c>
      <c r="F411" s="9">
        <v>42709</v>
      </c>
      <c r="G411" s="10">
        <f t="shared" ca="1" si="6"/>
        <v>9</v>
      </c>
    </row>
    <row r="412" spans="1:7" x14ac:dyDescent="0.35">
      <c r="A412" s="8">
        <v>184</v>
      </c>
      <c r="B412" s="8" t="s">
        <v>1080</v>
      </c>
      <c r="C412" s="8" t="s">
        <v>1081</v>
      </c>
      <c r="D412" s="8" t="s">
        <v>913</v>
      </c>
      <c r="E412" s="8" t="s">
        <v>1082</v>
      </c>
      <c r="F412" s="9">
        <v>38938</v>
      </c>
      <c r="G412" s="10">
        <f t="shared" ca="1" si="6"/>
        <v>19.331506849315069</v>
      </c>
    </row>
    <row r="413" spans="1:7" x14ac:dyDescent="0.35">
      <c r="A413" s="8">
        <v>501215</v>
      </c>
      <c r="B413" s="8" t="s">
        <v>1083</v>
      </c>
      <c r="C413" s="8" t="s">
        <v>1084</v>
      </c>
      <c r="D413" s="8" t="s">
        <v>913</v>
      </c>
      <c r="E413" s="8" t="s">
        <v>1085</v>
      </c>
      <c r="F413" s="9">
        <v>44363</v>
      </c>
      <c r="G413" s="10">
        <f t="shared" ca="1" si="6"/>
        <v>4.4684931506849317</v>
      </c>
    </row>
    <row r="414" spans="1:7" x14ac:dyDescent="0.35">
      <c r="A414" s="8">
        <v>501403</v>
      </c>
      <c r="B414" s="8" t="s">
        <v>1086</v>
      </c>
      <c r="C414" s="8" t="s">
        <v>1087</v>
      </c>
      <c r="D414" s="8" t="s">
        <v>913</v>
      </c>
      <c r="E414" s="8" t="s">
        <v>1088</v>
      </c>
      <c r="F414" s="9">
        <v>44713</v>
      </c>
      <c r="G414" s="10">
        <f t="shared" ca="1" si="6"/>
        <v>3.5095890410958903</v>
      </c>
    </row>
    <row r="415" spans="1:7" x14ac:dyDescent="0.35">
      <c r="A415" s="8">
        <v>502345</v>
      </c>
      <c r="B415" s="8" t="s">
        <v>1089</v>
      </c>
      <c r="C415" s="8" t="s">
        <v>1087</v>
      </c>
      <c r="D415" s="8" t="s">
        <v>913</v>
      </c>
      <c r="E415" s="8" t="s">
        <v>1090</v>
      </c>
      <c r="F415" s="9">
        <v>45887</v>
      </c>
      <c r="G415" s="10">
        <f t="shared" ca="1" si="6"/>
        <v>0.29315068493150687</v>
      </c>
    </row>
    <row r="416" spans="1:7" x14ac:dyDescent="0.35">
      <c r="A416" s="8">
        <v>502239</v>
      </c>
      <c r="B416" s="8" t="s">
        <v>1091</v>
      </c>
      <c r="C416" s="8" t="s">
        <v>1087</v>
      </c>
      <c r="D416" s="8" t="s">
        <v>913</v>
      </c>
      <c r="E416" s="8" t="s">
        <v>1092</v>
      </c>
      <c r="F416" s="9">
        <v>45824</v>
      </c>
      <c r="G416" s="10">
        <f t="shared" ca="1" si="6"/>
        <v>0.46575342465753422</v>
      </c>
    </row>
    <row r="417" spans="1:7" x14ac:dyDescent="0.35">
      <c r="A417" s="8">
        <v>500571</v>
      </c>
      <c r="B417" s="8" t="s">
        <v>1093</v>
      </c>
      <c r="C417" s="8" t="s">
        <v>1094</v>
      </c>
      <c r="D417" s="8" t="s">
        <v>913</v>
      </c>
      <c r="E417" s="8" t="s">
        <v>1095</v>
      </c>
      <c r="F417" s="9">
        <v>43878</v>
      </c>
      <c r="G417" s="10">
        <f t="shared" ca="1" si="6"/>
        <v>5.7972602739726025</v>
      </c>
    </row>
    <row r="418" spans="1:7" x14ac:dyDescent="0.35">
      <c r="A418" s="8">
        <v>100570</v>
      </c>
      <c r="B418" s="8" t="s">
        <v>1096</v>
      </c>
      <c r="C418" s="8" t="s">
        <v>1097</v>
      </c>
      <c r="D418" s="8" t="s">
        <v>913</v>
      </c>
      <c r="E418" s="8" t="s">
        <v>1098</v>
      </c>
      <c r="F418" s="9">
        <v>40787</v>
      </c>
      <c r="G418" s="10">
        <f t="shared" ca="1" si="6"/>
        <v>14.265753424657534</v>
      </c>
    </row>
    <row r="419" spans="1:7" x14ac:dyDescent="0.35">
      <c r="A419" s="8">
        <v>501205</v>
      </c>
      <c r="B419" s="8" t="s">
        <v>1099</v>
      </c>
      <c r="C419" s="8" t="s">
        <v>1100</v>
      </c>
      <c r="D419" s="8" t="s">
        <v>913</v>
      </c>
      <c r="E419" s="8" t="s">
        <v>1101</v>
      </c>
      <c r="F419" s="9">
        <v>44333</v>
      </c>
      <c r="G419" s="10">
        <f t="shared" ca="1" si="6"/>
        <v>4.5506849315068489</v>
      </c>
    </row>
    <row r="420" spans="1:7" x14ac:dyDescent="0.35">
      <c r="A420" s="8">
        <v>502254</v>
      </c>
      <c r="B420" s="8" t="s">
        <v>1102</v>
      </c>
      <c r="C420" s="8" t="s">
        <v>1103</v>
      </c>
      <c r="D420" s="8" t="s">
        <v>913</v>
      </c>
      <c r="E420" s="8" t="s">
        <v>1104</v>
      </c>
      <c r="F420" s="9">
        <v>45824</v>
      </c>
      <c r="G420" s="10">
        <f t="shared" ca="1" si="6"/>
        <v>0.46575342465753422</v>
      </c>
    </row>
    <row r="421" spans="1:7" x14ac:dyDescent="0.35">
      <c r="A421" s="8">
        <v>501632</v>
      </c>
      <c r="B421" s="8" t="s">
        <v>1105</v>
      </c>
      <c r="C421" s="8" t="s">
        <v>1103</v>
      </c>
      <c r="D421" s="8" t="s">
        <v>913</v>
      </c>
      <c r="E421" s="8" t="s">
        <v>1106</v>
      </c>
      <c r="F421" s="9">
        <v>45110</v>
      </c>
      <c r="G421" s="10">
        <f t="shared" ca="1" si="6"/>
        <v>2.4219178082191779</v>
      </c>
    </row>
    <row r="422" spans="1:7" x14ac:dyDescent="0.35">
      <c r="A422" s="8">
        <v>502245</v>
      </c>
      <c r="B422" s="8" t="s">
        <v>1107</v>
      </c>
      <c r="C422" s="8" t="s">
        <v>1103</v>
      </c>
      <c r="D422" s="8" t="s">
        <v>913</v>
      </c>
      <c r="E422" s="8" t="s">
        <v>1108</v>
      </c>
      <c r="F422" s="9">
        <v>45824</v>
      </c>
      <c r="G422" s="10">
        <f t="shared" ca="1" si="6"/>
        <v>0.46575342465753422</v>
      </c>
    </row>
    <row r="423" spans="1:7" x14ac:dyDescent="0.35">
      <c r="A423" s="8">
        <v>500475</v>
      </c>
      <c r="B423" s="8" t="s">
        <v>1109</v>
      </c>
      <c r="C423" s="8" t="s">
        <v>1110</v>
      </c>
      <c r="D423" s="8" t="s">
        <v>913</v>
      </c>
      <c r="E423" s="8" t="s">
        <v>1111</v>
      </c>
      <c r="F423" s="9">
        <v>43283</v>
      </c>
      <c r="G423" s="10">
        <f t="shared" ca="1" si="6"/>
        <v>7.4273972602739722</v>
      </c>
    </row>
    <row r="424" spans="1:7" x14ac:dyDescent="0.35">
      <c r="A424" s="8">
        <v>501718</v>
      </c>
      <c r="B424" s="8" t="s">
        <v>1112</v>
      </c>
      <c r="C424" s="8" t="s">
        <v>1103</v>
      </c>
      <c r="D424" s="8" t="s">
        <v>913</v>
      </c>
      <c r="E424" s="8" t="s">
        <v>1113</v>
      </c>
      <c r="F424" s="9">
        <v>45236</v>
      </c>
      <c r="G424" s="10">
        <f t="shared" ca="1" si="6"/>
        <v>2.0767123287671234</v>
      </c>
    </row>
    <row r="425" spans="1:7" x14ac:dyDescent="0.35">
      <c r="A425" s="8">
        <v>500923</v>
      </c>
      <c r="B425" s="8" t="s">
        <v>1114</v>
      </c>
      <c r="C425" s="8" t="s">
        <v>1110</v>
      </c>
      <c r="D425" s="8" t="s">
        <v>913</v>
      </c>
      <c r="E425" s="8" t="s">
        <v>1115</v>
      </c>
      <c r="F425" s="9">
        <v>43922</v>
      </c>
      <c r="G425" s="10">
        <f t="shared" ca="1" si="6"/>
        <v>5.6767123287671231</v>
      </c>
    </row>
    <row r="426" spans="1:7" x14ac:dyDescent="0.35">
      <c r="A426" s="8">
        <v>501782</v>
      </c>
      <c r="B426" s="8" t="s">
        <v>1116</v>
      </c>
      <c r="C426" s="8" t="s">
        <v>1103</v>
      </c>
      <c r="D426" s="8" t="s">
        <v>913</v>
      </c>
      <c r="E426" s="8" t="s">
        <v>1117</v>
      </c>
      <c r="F426" s="9">
        <v>45355</v>
      </c>
      <c r="G426" s="10">
        <f t="shared" ca="1" si="6"/>
        <v>1.7506849315068493</v>
      </c>
    </row>
    <row r="427" spans="1:7" x14ac:dyDescent="0.35">
      <c r="A427" s="8">
        <v>501496</v>
      </c>
      <c r="B427" s="8" t="s">
        <v>1118</v>
      </c>
      <c r="C427" s="8" t="s">
        <v>1103</v>
      </c>
      <c r="D427" s="8" t="s">
        <v>913</v>
      </c>
      <c r="E427" s="8" t="s">
        <v>1119</v>
      </c>
      <c r="F427" s="9">
        <v>44868</v>
      </c>
      <c r="G427" s="10">
        <f t="shared" ca="1" si="6"/>
        <v>3.0849315068493151</v>
      </c>
    </row>
    <row r="428" spans="1:7" x14ac:dyDescent="0.35">
      <c r="A428" s="8">
        <v>501716</v>
      </c>
      <c r="B428" s="8" t="s">
        <v>1120</v>
      </c>
      <c r="C428" s="8" t="s">
        <v>1103</v>
      </c>
      <c r="D428" s="8" t="s">
        <v>913</v>
      </c>
      <c r="E428" s="8" t="s">
        <v>1121</v>
      </c>
      <c r="F428" s="9">
        <v>45236</v>
      </c>
      <c r="G428" s="10">
        <f t="shared" ca="1" si="6"/>
        <v>2.0767123287671234</v>
      </c>
    </row>
    <row r="429" spans="1:7" x14ac:dyDescent="0.35">
      <c r="A429" s="8">
        <v>501622</v>
      </c>
      <c r="B429" s="8" t="s">
        <v>1122</v>
      </c>
      <c r="C429" s="8" t="s">
        <v>1103</v>
      </c>
      <c r="D429" s="8" t="s">
        <v>913</v>
      </c>
      <c r="E429" s="8" t="s">
        <v>1123</v>
      </c>
      <c r="F429" s="9">
        <v>45096</v>
      </c>
      <c r="G429" s="10">
        <f t="shared" ca="1" si="6"/>
        <v>2.4602739726027396</v>
      </c>
    </row>
    <row r="430" spans="1:7" x14ac:dyDescent="0.35">
      <c r="A430" s="8">
        <v>501465</v>
      </c>
      <c r="B430" s="8" t="s">
        <v>1124</v>
      </c>
      <c r="C430" s="8" t="s">
        <v>1103</v>
      </c>
      <c r="D430" s="8" t="s">
        <v>913</v>
      </c>
      <c r="E430" s="8" t="s">
        <v>1125</v>
      </c>
      <c r="F430" s="9">
        <v>44805</v>
      </c>
      <c r="G430" s="10">
        <f t="shared" ca="1" si="6"/>
        <v>3.2575342465753425</v>
      </c>
    </row>
    <row r="431" spans="1:7" x14ac:dyDescent="0.35">
      <c r="A431" s="8">
        <v>500607</v>
      </c>
      <c r="B431" s="8" t="s">
        <v>1126</v>
      </c>
      <c r="C431" s="8" t="s">
        <v>1110</v>
      </c>
      <c r="D431" s="8" t="s">
        <v>913</v>
      </c>
      <c r="E431" s="8" t="s">
        <v>1127</v>
      </c>
      <c r="F431" s="9">
        <v>43481</v>
      </c>
      <c r="G431" s="10">
        <f t="shared" ca="1" si="6"/>
        <v>6.8849315068493153</v>
      </c>
    </row>
    <row r="432" spans="1:7" x14ac:dyDescent="0.35">
      <c r="A432" s="8">
        <v>501612</v>
      </c>
      <c r="B432" s="8" t="s">
        <v>1128</v>
      </c>
      <c r="C432" s="8" t="s">
        <v>1103</v>
      </c>
      <c r="D432" s="8" t="s">
        <v>913</v>
      </c>
      <c r="E432" s="8" t="s">
        <v>1129</v>
      </c>
      <c r="F432" s="9">
        <v>45078</v>
      </c>
      <c r="G432" s="10">
        <f t="shared" ca="1" si="6"/>
        <v>2.5095890410958903</v>
      </c>
    </row>
    <row r="433" spans="1:7" x14ac:dyDescent="0.35">
      <c r="A433" s="8">
        <v>501902</v>
      </c>
      <c r="B433" s="8" t="s">
        <v>1130</v>
      </c>
      <c r="C433" s="8" t="s">
        <v>1103</v>
      </c>
      <c r="D433" s="8" t="s">
        <v>913</v>
      </c>
      <c r="E433" s="8" t="s">
        <v>1131</v>
      </c>
      <c r="F433" s="9">
        <v>45474</v>
      </c>
      <c r="G433" s="10">
        <f t="shared" ca="1" si="6"/>
        <v>1.4246575342465753</v>
      </c>
    </row>
    <row r="434" spans="1:7" x14ac:dyDescent="0.35">
      <c r="A434" s="8">
        <v>501728</v>
      </c>
      <c r="B434" s="8" t="s">
        <v>1132</v>
      </c>
      <c r="C434" s="8" t="s">
        <v>1103</v>
      </c>
      <c r="D434" s="8" t="s">
        <v>913</v>
      </c>
      <c r="E434" s="8" t="s">
        <v>1133</v>
      </c>
      <c r="F434" s="9">
        <v>45246</v>
      </c>
      <c r="G434" s="10">
        <f t="shared" ca="1" si="6"/>
        <v>2.0493150684931507</v>
      </c>
    </row>
    <row r="435" spans="1:7" x14ac:dyDescent="0.35">
      <c r="A435" s="8">
        <v>502067</v>
      </c>
      <c r="B435" s="8" t="s">
        <v>1134</v>
      </c>
      <c r="C435" s="8" t="s">
        <v>1103</v>
      </c>
      <c r="D435" s="8" t="s">
        <v>913</v>
      </c>
      <c r="E435" s="8" t="s">
        <v>1135</v>
      </c>
      <c r="F435" s="9">
        <v>45628</v>
      </c>
      <c r="G435" s="10">
        <f t="shared" ca="1" si="6"/>
        <v>1.0027397260273974</v>
      </c>
    </row>
    <row r="436" spans="1:7" x14ac:dyDescent="0.35">
      <c r="A436" s="8">
        <v>502065</v>
      </c>
      <c r="B436" s="8" t="s">
        <v>1136</v>
      </c>
      <c r="C436" s="8" t="s">
        <v>1103</v>
      </c>
      <c r="D436" s="8" t="s">
        <v>913</v>
      </c>
      <c r="E436" s="8" t="s">
        <v>1137</v>
      </c>
      <c r="F436" s="9">
        <v>45628</v>
      </c>
      <c r="G436" s="10">
        <f t="shared" ca="1" si="6"/>
        <v>1.0027397260273974</v>
      </c>
    </row>
    <row r="437" spans="1:7" x14ac:dyDescent="0.35">
      <c r="A437" s="8">
        <v>500715</v>
      </c>
      <c r="B437" s="8" t="s">
        <v>1138</v>
      </c>
      <c r="C437" s="8" t="s">
        <v>1100</v>
      </c>
      <c r="D437" s="8" t="s">
        <v>913</v>
      </c>
      <c r="E437" s="8" t="s">
        <v>1139</v>
      </c>
      <c r="F437" s="9">
        <v>43619</v>
      </c>
      <c r="G437" s="10">
        <f t="shared" ca="1" si="6"/>
        <v>6.506849315068493</v>
      </c>
    </row>
    <row r="438" spans="1:7" x14ac:dyDescent="0.35">
      <c r="A438" s="8">
        <v>501313</v>
      </c>
      <c r="B438" s="8" t="s">
        <v>1140</v>
      </c>
      <c r="C438" s="8" t="s">
        <v>1103</v>
      </c>
      <c r="D438" s="8" t="s">
        <v>913</v>
      </c>
      <c r="E438" s="8" t="s">
        <v>1141</v>
      </c>
      <c r="F438" s="9">
        <v>44613</v>
      </c>
      <c r="G438" s="10">
        <f t="shared" ca="1" si="6"/>
        <v>3.7835616438356166</v>
      </c>
    </row>
    <row r="439" spans="1:7" x14ac:dyDescent="0.35">
      <c r="A439" s="8">
        <v>500677</v>
      </c>
      <c r="B439" s="8" t="s">
        <v>1142</v>
      </c>
      <c r="C439" s="8" t="s">
        <v>1103</v>
      </c>
      <c r="D439" s="8" t="s">
        <v>913</v>
      </c>
      <c r="E439" s="8" t="s">
        <v>1143</v>
      </c>
      <c r="F439" s="9">
        <v>43571</v>
      </c>
      <c r="G439" s="10">
        <f t="shared" ca="1" si="6"/>
        <v>6.6383561643835618</v>
      </c>
    </row>
    <row r="440" spans="1:7" x14ac:dyDescent="0.35">
      <c r="A440" s="8">
        <v>500717</v>
      </c>
      <c r="B440" s="8" t="s">
        <v>1144</v>
      </c>
      <c r="C440" s="8" t="s">
        <v>1103</v>
      </c>
      <c r="D440" s="8" t="s">
        <v>913</v>
      </c>
      <c r="E440" s="8" t="s">
        <v>1145</v>
      </c>
      <c r="F440" s="9">
        <v>43619</v>
      </c>
      <c r="G440" s="10">
        <f t="shared" ca="1" si="6"/>
        <v>6.506849315068493</v>
      </c>
    </row>
    <row r="441" spans="1:7" x14ac:dyDescent="0.35">
      <c r="A441" s="8">
        <v>100303</v>
      </c>
      <c r="B441" s="8" t="s">
        <v>1146</v>
      </c>
      <c r="C441" s="8" t="s">
        <v>1103</v>
      </c>
      <c r="D441" s="8" t="s">
        <v>913</v>
      </c>
      <c r="E441" s="8" t="s">
        <v>1147</v>
      </c>
      <c r="F441" s="9">
        <v>40284</v>
      </c>
      <c r="G441" s="10">
        <f t="shared" ca="1" si="6"/>
        <v>15.643835616438356</v>
      </c>
    </row>
    <row r="442" spans="1:7" x14ac:dyDescent="0.35">
      <c r="A442" s="8">
        <v>501935</v>
      </c>
      <c r="B442" s="8" t="s">
        <v>1148</v>
      </c>
      <c r="C442" s="8" t="s">
        <v>1103</v>
      </c>
      <c r="D442" s="8" t="s">
        <v>913</v>
      </c>
      <c r="E442" s="8" t="s">
        <v>1149</v>
      </c>
      <c r="F442" s="9">
        <v>45509</v>
      </c>
      <c r="G442" s="10">
        <f t="shared" ca="1" si="6"/>
        <v>1.3287671232876712</v>
      </c>
    </row>
    <row r="443" spans="1:7" x14ac:dyDescent="0.35">
      <c r="A443" s="8">
        <v>501936</v>
      </c>
      <c r="B443" s="8" t="s">
        <v>1150</v>
      </c>
      <c r="C443" s="8" t="s">
        <v>1103</v>
      </c>
      <c r="D443" s="8" t="s">
        <v>913</v>
      </c>
      <c r="E443" s="8" t="s">
        <v>1151</v>
      </c>
      <c r="F443" s="9">
        <v>45509</v>
      </c>
      <c r="G443" s="10">
        <f t="shared" ca="1" si="6"/>
        <v>1.3287671232876712</v>
      </c>
    </row>
    <row r="444" spans="1:7" x14ac:dyDescent="0.35">
      <c r="A444" s="8">
        <v>502066</v>
      </c>
      <c r="B444" s="8" t="s">
        <v>1152</v>
      </c>
      <c r="C444" s="8" t="s">
        <v>1103</v>
      </c>
      <c r="D444" s="8" t="s">
        <v>913</v>
      </c>
      <c r="E444" s="8" t="s">
        <v>1153</v>
      </c>
      <c r="F444" s="9">
        <v>45628</v>
      </c>
      <c r="G444" s="10">
        <f t="shared" ca="1" si="6"/>
        <v>1.0027397260273974</v>
      </c>
    </row>
    <row r="445" spans="1:7" x14ac:dyDescent="0.35">
      <c r="A445" s="8">
        <v>101575</v>
      </c>
      <c r="B445" s="8" t="s">
        <v>1154</v>
      </c>
      <c r="C445" s="8" t="s">
        <v>1103</v>
      </c>
      <c r="D445" s="8" t="s">
        <v>913</v>
      </c>
      <c r="E445" s="8" t="s">
        <v>1155</v>
      </c>
      <c r="F445" s="9">
        <v>42464</v>
      </c>
      <c r="G445" s="10">
        <f t="shared" ca="1" si="6"/>
        <v>9.6712328767123292</v>
      </c>
    </row>
    <row r="446" spans="1:7" x14ac:dyDescent="0.35">
      <c r="A446" s="8">
        <v>502064</v>
      </c>
      <c r="B446" s="8" t="s">
        <v>1156</v>
      </c>
      <c r="C446" s="8" t="s">
        <v>1103</v>
      </c>
      <c r="D446" s="8" t="s">
        <v>913</v>
      </c>
      <c r="E446" s="8" t="s">
        <v>1157</v>
      </c>
      <c r="F446" s="9">
        <v>45628</v>
      </c>
      <c r="G446" s="10">
        <f t="shared" ca="1" si="6"/>
        <v>1.0027397260273974</v>
      </c>
    </row>
    <row r="447" spans="1:7" x14ac:dyDescent="0.35">
      <c r="A447" s="8">
        <v>500295</v>
      </c>
      <c r="B447" s="8" t="s">
        <v>1158</v>
      </c>
      <c r="C447" s="8" t="s">
        <v>1103</v>
      </c>
      <c r="D447" s="8" t="s">
        <v>913</v>
      </c>
      <c r="E447" s="8" t="s">
        <v>1159</v>
      </c>
      <c r="F447" s="9">
        <v>43040</v>
      </c>
      <c r="G447" s="10">
        <f t="shared" ca="1" si="6"/>
        <v>8.0931506849315067</v>
      </c>
    </row>
    <row r="448" spans="1:7" x14ac:dyDescent="0.35">
      <c r="A448" s="8">
        <v>500374</v>
      </c>
      <c r="B448" s="8" t="s">
        <v>1160</v>
      </c>
      <c r="C448" s="8" t="s">
        <v>1103</v>
      </c>
      <c r="D448" s="8" t="s">
        <v>913</v>
      </c>
      <c r="E448" s="8" t="s">
        <v>1161</v>
      </c>
      <c r="F448" s="9">
        <v>43150</v>
      </c>
      <c r="G448" s="10">
        <f t="shared" ca="1" si="6"/>
        <v>7.7917808219178086</v>
      </c>
    </row>
    <row r="449" spans="1:7" x14ac:dyDescent="0.35">
      <c r="A449" s="8">
        <v>101448</v>
      </c>
      <c r="B449" s="8" t="s">
        <v>1162</v>
      </c>
      <c r="C449" s="8" t="s">
        <v>1103</v>
      </c>
      <c r="D449" s="8" t="s">
        <v>913</v>
      </c>
      <c r="E449" s="8" t="s">
        <v>1163</v>
      </c>
      <c r="F449" s="9">
        <v>42296</v>
      </c>
      <c r="G449" s="10">
        <f t="shared" ca="1" si="6"/>
        <v>10.131506849315068</v>
      </c>
    </row>
    <row r="450" spans="1:7" x14ac:dyDescent="0.35">
      <c r="A450" s="8">
        <v>500681</v>
      </c>
      <c r="B450" s="8" t="s">
        <v>1164</v>
      </c>
      <c r="C450" s="8" t="s">
        <v>1103</v>
      </c>
      <c r="D450" s="8" t="s">
        <v>913</v>
      </c>
      <c r="E450" s="8" t="s">
        <v>1165</v>
      </c>
      <c r="F450" s="9">
        <v>43571</v>
      </c>
      <c r="G450" s="10">
        <f t="shared" ca="1" si="6"/>
        <v>6.6383561643835618</v>
      </c>
    </row>
    <row r="451" spans="1:7" x14ac:dyDescent="0.35">
      <c r="A451" s="8">
        <v>500995</v>
      </c>
      <c r="B451" s="8" t="s">
        <v>1166</v>
      </c>
      <c r="C451" s="8" t="s">
        <v>1103</v>
      </c>
      <c r="D451" s="8" t="s">
        <v>913</v>
      </c>
      <c r="E451" s="8" t="s">
        <v>1167</v>
      </c>
      <c r="F451" s="9">
        <v>44291</v>
      </c>
      <c r="G451" s="10">
        <f t="shared" ca="1" si="6"/>
        <v>4.6657534246575345</v>
      </c>
    </row>
    <row r="452" spans="1:7" x14ac:dyDescent="0.35">
      <c r="A452" s="8">
        <v>501717</v>
      </c>
      <c r="B452" s="8" t="s">
        <v>1168</v>
      </c>
      <c r="C452" s="8" t="s">
        <v>1103</v>
      </c>
      <c r="D452" s="8" t="s">
        <v>913</v>
      </c>
      <c r="E452" s="8" t="s">
        <v>1169</v>
      </c>
      <c r="F452" s="9">
        <v>45236</v>
      </c>
      <c r="G452" s="10">
        <f t="shared" ca="1" si="6"/>
        <v>2.0767123287671234</v>
      </c>
    </row>
    <row r="453" spans="1:7" x14ac:dyDescent="0.35">
      <c r="A453" s="8">
        <v>500799</v>
      </c>
      <c r="B453" s="8" t="s">
        <v>1170</v>
      </c>
      <c r="C453" s="8" t="s">
        <v>1103</v>
      </c>
      <c r="D453" s="8" t="s">
        <v>913</v>
      </c>
      <c r="E453" s="8" t="s">
        <v>1171</v>
      </c>
      <c r="F453" s="9">
        <v>43745</v>
      </c>
      <c r="G453" s="10">
        <f t="shared" ref="G453:G516" ca="1" si="7">($G$1-F453)/365</f>
        <v>6.161643835616438</v>
      </c>
    </row>
    <row r="454" spans="1:7" x14ac:dyDescent="0.35">
      <c r="A454" s="8">
        <v>502244</v>
      </c>
      <c r="B454" s="8" t="s">
        <v>1172</v>
      </c>
      <c r="C454" s="8" t="s">
        <v>1103</v>
      </c>
      <c r="D454" s="8" t="s">
        <v>913</v>
      </c>
      <c r="E454" s="8" t="s">
        <v>1173</v>
      </c>
      <c r="F454" s="9">
        <v>45824</v>
      </c>
      <c r="G454" s="10">
        <f t="shared" ca="1" si="7"/>
        <v>0.46575342465753422</v>
      </c>
    </row>
    <row r="455" spans="1:7" x14ac:dyDescent="0.35">
      <c r="A455" s="8">
        <v>501466</v>
      </c>
      <c r="B455" s="8" t="s">
        <v>1174</v>
      </c>
      <c r="C455" s="8" t="s">
        <v>1103</v>
      </c>
      <c r="D455" s="8" t="s">
        <v>913</v>
      </c>
      <c r="E455" s="8" t="s">
        <v>1175</v>
      </c>
      <c r="F455" s="9">
        <v>44805</v>
      </c>
      <c r="G455" s="10">
        <f t="shared" ca="1" si="7"/>
        <v>3.2575342465753425</v>
      </c>
    </row>
    <row r="456" spans="1:7" x14ac:dyDescent="0.35">
      <c r="A456" s="8">
        <v>502083</v>
      </c>
      <c r="B456" s="8" t="s">
        <v>1176</v>
      </c>
      <c r="C456" s="8" t="s">
        <v>1103</v>
      </c>
      <c r="D456" s="8" t="s">
        <v>913</v>
      </c>
      <c r="E456" s="8" t="s">
        <v>1177</v>
      </c>
      <c r="F456" s="9">
        <v>45659</v>
      </c>
      <c r="G456" s="10">
        <f t="shared" ca="1" si="7"/>
        <v>0.9178082191780822</v>
      </c>
    </row>
    <row r="457" spans="1:7" x14ac:dyDescent="0.35">
      <c r="A457" s="8">
        <v>502116</v>
      </c>
      <c r="B457" s="8" t="s">
        <v>1178</v>
      </c>
      <c r="C457" s="8" t="s">
        <v>1103</v>
      </c>
      <c r="D457" s="8" t="s">
        <v>913</v>
      </c>
      <c r="E457" s="8" t="s">
        <v>1179</v>
      </c>
      <c r="F457" s="9">
        <v>45705</v>
      </c>
      <c r="G457" s="10">
        <f t="shared" ca="1" si="7"/>
        <v>0.79178082191780819</v>
      </c>
    </row>
    <row r="458" spans="1:7" x14ac:dyDescent="0.35">
      <c r="A458" s="8">
        <v>502253</v>
      </c>
      <c r="B458" s="8" t="s">
        <v>1180</v>
      </c>
      <c r="C458" s="8" t="s">
        <v>1103</v>
      </c>
      <c r="D458" s="8" t="s">
        <v>913</v>
      </c>
      <c r="E458" s="8" t="s">
        <v>1181</v>
      </c>
      <c r="F458" s="9">
        <v>45824</v>
      </c>
      <c r="G458" s="10">
        <f t="shared" ca="1" si="7"/>
        <v>0.46575342465753422</v>
      </c>
    </row>
    <row r="459" spans="1:7" x14ac:dyDescent="0.35">
      <c r="A459" s="8">
        <v>502100</v>
      </c>
      <c r="B459" s="8" t="s">
        <v>1182</v>
      </c>
      <c r="C459" s="8" t="s">
        <v>1103</v>
      </c>
      <c r="D459" s="8" t="s">
        <v>913</v>
      </c>
      <c r="E459" s="8" t="s">
        <v>1183</v>
      </c>
      <c r="F459" s="9">
        <v>45692</v>
      </c>
      <c r="G459" s="10">
        <f t="shared" ca="1" si="7"/>
        <v>0.82739726027397265</v>
      </c>
    </row>
    <row r="460" spans="1:7" x14ac:dyDescent="0.35">
      <c r="A460" s="5">
        <v>502514</v>
      </c>
      <c r="B460" s="5" t="s">
        <v>1184</v>
      </c>
      <c r="C460" s="5" t="s">
        <v>1103</v>
      </c>
      <c r="D460" s="5" t="s">
        <v>913</v>
      </c>
      <c r="E460" s="5" t="s">
        <v>1185</v>
      </c>
      <c r="F460" s="6">
        <v>45936</v>
      </c>
      <c r="G460" s="7">
        <f t="shared" ca="1" si="7"/>
        <v>0.15890410958904111</v>
      </c>
    </row>
    <row r="461" spans="1:7" x14ac:dyDescent="0.35">
      <c r="A461" s="8">
        <v>502099</v>
      </c>
      <c r="B461" s="8" t="s">
        <v>1186</v>
      </c>
      <c r="C461" s="8" t="s">
        <v>1103</v>
      </c>
      <c r="D461" s="8" t="s">
        <v>913</v>
      </c>
      <c r="E461" s="8" t="s">
        <v>1187</v>
      </c>
      <c r="F461" s="9">
        <v>45692</v>
      </c>
      <c r="G461" s="10">
        <f t="shared" ca="1" si="7"/>
        <v>0.82739726027397265</v>
      </c>
    </row>
    <row r="462" spans="1:7" x14ac:dyDescent="0.35">
      <c r="A462" s="8">
        <v>996</v>
      </c>
      <c r="B462" s="8" t="s">
        <v>1188</v>
      </c>
      <c r="C462" s="8" t="s">
        <v>1189</v>
      </c>
      <c r="D462" s="8" t="s">
        <v>913</v>
      </c>
      <c r="E462" s="8" t="s">
        <v>1190</v>
      </c>
      <c r="F462" s="9">
        <v>39678</v>
      </c>
      <c r="G462" s="10">
        <f t="shared" ca="1" si="7"/>
        <v>17.304109589041097</v>
      </c>
    </row>
    <row r="463" spans="1:7" x14ac:dyDescent="0.35">
      <c r="A463" s="8">
        <v>519</v>
      </c>
      <c r="B463" s="8" t="s">
        <v>1191</v>
      </c>
      <c r="C463" s="8" t="s">
        <v>1192</v>
      </c>
      <c r="D463" s="8" t="s">
        <v>913</v>
      </c>
      <c r="E463" s="8" t="s">
        <v>1193</v>
      </c>
      <c r="F463" s="9">
        <v>39496</v>
      </c>
      <c r="G463" s="10">
        <f t="shared" ca="1" si="7"/>
        <v>17.802739726027397</v>
      </c>
    </row>
    <row r="464" spans="1:7" x14ac:dyDescent="0.35">
      <c r="A464" s="8">
        <v>303</v>
      </c>
      <c r="B464" s="8" t="s">
        <v>1194</v>
      </c>
      <c r="C464" s="8" t="s">
        <v>1195</v>
      </c>
      <c r="D464" s="8" t="s">
        <v>913</v>
      </c>
      <c r="E464" s="8" t="s">
        <v>1196</v>
      </c>
      <c r="F464" s="9">
        <v>39190</v>
      </c>
      <c r="G464" s="10">
        <f t="shared" ca="1" si="7"/>
        <v>18.641095890410959</v>
      </c>
    </row>
    <row r="465" spans="1:7" x14ac:dyDescent="0.35">
      <c r="A465" s="5">
        <v>502490</v>
      </c>
      <c r="B465" s="5" t="s">
        <v>1197</v>
      </c>
      <c r="C465" s="5" t="s">
        <v>1198</v>
      </c>
      <c r="D465" s="5" t="s">
        <v>913</v>
      </c>
      <c r="E465" s="5" t="s">
        <v>1199</v>
      </c>
      <c r="F465" s="6">
        <v>45922</v>
      </c>
      <c r="G465" s="7">
        <f t="shared" ca="1" si="7"/>
        <v>0.19726027397260273</v>
      </c>
    </row>
    <row r="466" spans="1:7" x14ac:dyDescent="0.35">
      <c r="A466" s="8">
        <v>100881</v>
      </c>
      <c r="B466" s="8" t="s">
        <v>1200</v>
      </c>
      <c r="C466" s="8" t="s">
        <v>1201</v>
      </c>
      <c r="D466" s="8" t="s">
        <v>913</v>
      </c>
      <c r="E466" s="8" t="s">
        <v>1202</v>
      </c>
      <c r="F466" s="9">
        <v>41428</v>
      </c>
      <c r="G466" s="10">
        <f t="shared" ca="1" si="7"/>
        <v>12.509589041095891</v>
      </c>
    </row>
    <row r="467" spans="1:7" x14ac:dyDescent="0.35">
      <c r="A467" s="8">
        <v>501473</v>
      </c>
      <c r="B467" s="8" t="s">
        <v>1203</v>
      </c>
      <c r="C467" s="8" t="s">
        <v>1204</v>
      </c>
      <c r="D467" s="8" t="s">
        <v>913</v>
      </c>
      <c r="E467" s="8" t="s">
        <v>1205</v>
      </c>
      <c r="F467" s="9">
        <v>44825</v>
      </c>
      <c r="G467" s="10">
        <f t="shared" ca="1" si="7"/>
        <v>3.2027397260273971</v>
      </c>
    </row>
    <row r="468" spans="1:7" x14ac:dyDescent="0.35">
      <c r="A468" s="8">
        <v>501404</v>
      </c>
      <c r="B468" s="8" t="s">
        <v>1206</v>
      </c>
      <c r="C468" s="8" t="s">
        <v>1207</v>
      </c>
      <c r="D468" s="8" t="s">
        <v>913</v>
      </c>
      <c r="E468" s="8" t="s">
        <v>1208</v>
      </c>
      <c r="F468" s="9">
        <v>44713</v>
      </c>
      <c r="G468" s="10">
        <f t="shared" ca="1" si="7"/>
        <v>3.5095890410958903</v>
      </c>
    </row>
    <row r="469" spans="1:7" x14ac:dyDescent="0.35">
      <c r="A469" s="8">
        <v>101273</v>
      </c>
      <c r="B469" s="8" t="s">
        <v>1209</v>
      </c>
      <c r="C469" s="8" t="s">
        <v>1210</v>
      </c>
      <c r="D469" s="8" t="s">
        <v>913</v>
      </c>
      <c r="E469" s="8" t="s">
        <v>1211</v>
      </c>
      <c r="F469" s="9">
        <v>42051</v>
      </c>
      <c r="G469" s="10">
        <f t="shared" ca="1" si="7"/>
        <v>10.802739726027397</v>
      </c>
    </row>
    <row r="470" spans="1:7" x14ac:dyDescent="0.35">
      <c r="A470" s="8">
        <v>502288</v>
      </c>
      <c r="B470" s="8" t="s">
        <v>1212</v>
      </c>
      <c r="C470" s="8" t="s">
        <v>1210</v>
      </c>
      <c r="D470" s="8" t="s">
        <v>913</v>
      </c>
      <c r="E470" s="8" t="s">
        <v>1213</v>
      </c>
      <c r="F470" s="9">
        <v>45859</v>
      </c>
      <c r="G470" s="10">
        <f t="shared" ca="1" si="7"/>
        <v>0.36986301369863012</v>
      </c>
    </row>
    <row r="471" spans="1:7" x14ac:dyDescent="0.35">
      <c r="A471" s="8">
        <v>500955</v>
      </c>
      <c r="B471" s="8" t="s">
        <v>1214</v>
      </c>
      <c r="C471" s="8" t="s">
        <v>1215</v>
      </c>
      <c r="D471" s="8" t="s">
        <v>913</v>
      </c>
      <c r="E471" s="8" t="s">
        <v>1216</v>
      </c>
      <c r="F471" s="9">
        <v>44105</v>
      </c>
      <c r="G471" s="10">
        <f t="shared" ca="1" si="7"/>
        <v>5.1753424657534248</v>
      </c>
    </row>
    <row r="472" spans="1:7" x14ac:dyDescent="0.35">
      <c r="A472" s="8">
        <v>208</v>
      </c>
      <c r="B472" s="8" t="s">
        <v>1217</v>
      </c>
      <c r="C472" s="8" t="s">
        <v>1218</v>
      </c>
      <c r="D472" s="8" t="s">
        <v>913</v>
      </c>
      <c r="E472" s="8" t="s">
        <v>1219</v>
      </c>
      <c r="F472" s="9">
        <v>39027</v>
      </c>
      <c r="G472" s="10">
        <f t="shared" ca="1" si="7"/>
        <v>19.087671232876712</v>
      </c>
    </row>
    <row r="473" spans="1:7" x14ac:dyDescent="0.35">
      <c r="A473" s="8">
        <v>502382</v>
      </c>
      <c r="B473" s="8" t="s">
        <v>1220</v>
      </c>
      <c r="C473" s="8" t="s">
        <v>1221</v>
      </c>
      <c r="D473" s="8" t="s">
        <v>913</v>
      </c>
      <c r="E473" s="8" t="s">
        <v>1222</v>
      </c>
      <c r="F473" s="9">
        <v>45901</v>
      </c>
      <c r="G473" s="10">
        <f t="shared" ca="1" si="7"/>
        <v>0.25479452054794521</v>
      </c>
    </row>
    <row r="474" spans="1:7" x14ac:dyDescent="0.35">
      <c r="A474" s="8">
        <v>500895</v>
      </c>
      <c r="B474" s="8" t="s">
        <v>1223</v>
      </c>
      <c r="C474" s="8" t="s">
        <v>1224</v>
      </c>
      <c r="D474" s="8" t="s">
        <v>913</v>
      </c>
      <c r="E474" s="8" t="s">
        <v>1225</v>
      </c>
      <c r="F474" s="9">
        <v>43878</v>
      </c>
      <c r="G474" s="10">
        <f t="shared" ca="1" si="7"/>
        <v>5.7972602739726025</v>
      </c>
    </row>
    <row r="475" spans="1:7" x14ac:dyDescent="0.35">
      <c r="A475" s="8">
        <v>101720</v>
      </c>
      <c r="B475" s="8" t="s">
        <v>1226</v>
      </c>
      <c r="C475" s="8" t="s">
        <v>1221</v>
      </c>
      <c r="D475" s="8" t="s">
        <v>913</v>
      </c>
      <c r="E475" s="8" t="s">
        <v>1227</v>
      </c>
      <c r="F475" s="9">
        <v>42660</v>
      </c>
      <c r="G475" s="10">
        <f t="shared" ca="1" si="7"/>
        <v>9.1342465753424662</v>
      </c>
    </row>
    <row r="476" spans="1:7" x14ac:dyDescent="0.35">
      <c r="A476" s="8">
        <v>100814</v>
      </c>
      <c r="B476" s="8" t="s">
        <v>1228</v>
      </c>
      <c r="C476" s="8" t="s">
        <v>1229</v>
      </c>
      <c r="D476" s="8" t="s">
        <v>913</v>
      </c>
      <c r="E476" s="8" t="s">
        <v>1230</v>
      </c>
      <c r="F476" s="9">
        <v>41323</v>
      </c>
      <c r="G476" s="10">
        <f t="shared" ca="1" si="7"/>
        <v>12.797260273972602</v>
      </c>
    </row>
    <row r="477" spans="1:7" x14ac:dyDescent="0.35">
      <c r="A477" s="8">
        <v>501441</v>
      </c>
      <c r="B477" s="8" t="s">
        <v>1231</v>
      </c>
      <c r="C477" s="8" t="s">
        <v>1198</v>
      </c>
      <c r="D477" s="8" t="s">
        <v>913</v>
      </c>
      <c r="E477" s="8" t="s">
        <v>1232</v>
      </c>
      <c r="F477" s="9">
        <v>44774</v>
      </c>
      <c r="G477" s="10">
        <f t="shared" ca="1" si="7"/>
        <v>3.3424657534246576</v>
      </c>
    </row>
    <row r="478" spans="1:7" x14ac:dyDescent="0.35">
      <c r="A478" s="8">
        <v>100460</v>
      </c>
      <c r="B478" s="8" t="s">
        <v>1233</v>
      </c>
      <c r="C478" s="8" t="s">
        <v>1234</v>
      </c>
      <c r="D478" s="8" t="s">
        <v>913</v>
      </c>
      <c r="E478" s="8" t="s">
        <v>1235</v>
      </c>
      <c r="F478" s="9">
        <v>40603</v>
      </c>
      <c r="G478" s="10">
        <f t="shared" ca="1" si="7"/>
        <v>14.769863013698631</v>
      </c>
    </row>
    <row r="479" spans="1:7" x14ac:dyDescent="0.35">
      <c r="A479" s="8">
        <v>502314</v>
      </c>
      <c r="B479" s="8" t="s">
        <v>1236</v>
      </c>
      <c r="C479" s="8" t="s">
        <v>1237</v>
      </c>
      <c r="D479" s="8" t="s">
        <v>913</v>
      </c>
      <c r="E479" s="8" t="s">
        <v>1238</v>
      </c>
      <c r="F479" s="9">
        <v>45873</v>
      </c>
      <c r="G479" s="10">
        <f t="shared" ca="1" si="7"/>
        <v>0.33150684931506852</v>
      </c>
    </row>
    <row r="480" spans="1:7" x14ac:dyDescent="0.35">
      <c r="A480" s="8">
        <v>100436</v>
      </c>
      <c r="B480" s="8" t="s">
        <v>1239</v>
      </c>
      <c r="C480" s="8" t="s">
        <v>1240</v>
      </c>
      <c r="D480" s="8" t="s">
        <v>913</v>
      </c>
      <c r="E480" s="8" t="s">
        <v>1241</v>
      </c>
      <c r="F480" s="9">
        <v>40560</v>
      </c>
      <c r="G480" s="10">
        <f t="shared" ca="1" si="7"/>
        <v>14.887671232876713</v>
      </c>
    </row>
    <row r="481" spans="1:7" x14ac:dyDescent="0.35">
      <c r="A481" s="8">
        <v>502141</v>
      </c>
      <c r="B481" s="8" t="s">
        <v>1242</v>
      </c>
      <c r="C481" s="8" t="s">
        <v>1243</v>
      </c>
      <c r="D481" s="8" t="s">
        <v>913</v>
      </c>
      <c r="E481" s="8" t="s">
        <v>1244</v>
      </c>
      <c r="F481" s="9">
        <v>45734</v>
      </c>
      <c r="G481" s="10">
        <f t="shared" ca="1" si="7"/>
        <v>0.71232876712328763</v>
      </c>
    </row>
    <row r="482" spans="1:7" x14ac:dyDescent="0.35">
      <c r="A482" s="8">
        <v>101033</v>
      </c>
      <c r="B482" s="8" t="s">
        <v>1245</v>
      </c>
      <c r="C482" s="8" t="s">
        <v>1246</v>
      </c>
      <c r="D482" s="8" t="s">
        <v>913</v>
      </c>
      <c r="E482" s="8" t="s">
        <v>1247</v>
      </c>
      <c r="F482" s="9">
        <v>41701</v>
      </c>
      <c r="G482" s="10">
        <f t="shared" ca="1" si="7"/>
        <v>11.761643835616438</v>
      </c>
    </row>
    <row r="483" spans="1:7" x14ac:dyDescent="0.35">
      <c r="A483" s="8">
        <v>502320</v>
      </c>
      <c r="B483" s="8" t="s">
        <v>1248</v>
      </c>
      <c r="C483" s="8" t="s">
        <v>1237</v>
      </c>
      <c r="D483" s="8" t="s">
        <v>913</v>
      </c>
      <c r="E483" s="8" t="s">
        <v>1249</v>
      </c>
      <c r="F483" s="9">
        <v>45880</v>
      </c>
      <c r="G483" s="10">
        <f t="shared" ca="1" si="7"/>
        <v>0.31232876712328766</v>
      </c>
    </row>
    <row r="484" spans="1:7" x14ac:dyDescent="0.35">
      <c r="A484" s="8">
        <v>301</v>
      </c>
      <c r="B484" s="8" t="s">
        <v>1250</v>
      </c>
      <c r="C484" s="8" t="s">
        <v>1251</v>
      </c>
      <c r="D484" s="8" t="s">
        <v>913</v>
      </c>
      <c r="E484" s="8" t="s">
        <v>1252</v>
      </c>
      <c r="F484" s="9">
        <v>39188</v>
      </c>
      <c r="G484" s="10">
        <f t="shared" ca="1" si="7"/>
        <v>18.646575342465752</v>
      </c>
    </row>
    <row r="485" spans="1:7" x14ac:dyDescent="0.35">
      <c r="A485" s="8">
        <v>502168</v>
      </c>
      <c r="B485" s="8" t="s">
        <v>1253</v>
      </c>
      <c r="C485" s="8" t="s">
        <v>1254</v>
      </c>
      <c r="D485" s="8" t="s">
        <v>913</v>
      </c>
      <c r="E485" s="8" t="s">
        <v>1255</v>
      </c>
      <c r="F485" s="9">
        <v>45782</v>
      </c>
      <c r="G485" s="10">
        <f t="shared" ca="1" si="7"/>
        <v>0.58082191780821912</v>
      </c>
    </row>
    <row r="486" spans="1:7" x14ac:dyDescent="0.35">
      <c r="A486" s="8">
        <v>500911</v>
      </c>
      <c r="B486" s="8" t="s">
        <v>1256</v>
      </c>
      <c r="C486" s="8" t="s">
        <v>1254</v>
      </c>
      <c r="D486" s="8" t="s">
        <v>913</v>
      </c>
      <c r="E486" s="8" t="s">
        <v>1257</v>
      </c>
      <c r="F486" s="9">
        <v>43907</v>
      </c>
      <c r="G486" s="10">
        <f t="shared" ca="1" si="7"/>
        <v>5.7178082191780826</v>
      </c>
    </row>
    <row r="487" spans="1:7" x14ac:dyDescent="0.35">
      <c r="A487" s="8">
        <v>101289</v>
      </c>
      <c r="B487" s="8" t="s">
        <v>1258</v>
      </c>
      <c r="C487" s="8" t="s">
        <v>1254</v>
      </c>
      <c r="D487" s="8" t="s">
        <v>913</v>
      </c>
      <c r="E487" s="8" t="s">
        <v>1259</v>
      </c>
      <c r="F487" s="9">
        <v>42065</v>
      </c>
      <c r="G487" s="10">
        <f t="shared" ca="1" si="7"/>
        <v>10.764383561643836</v>
      </c>
    </row>
    <row r="488" spans="1:7" x14ac:dyDescent="0.35">
      <c r="A488" s="8">
        <v>501269</v>
      </c>
      <c r="B488" s="8" t="s">
        <v>1260</v>
      </c>
      <c r="C488" s="8" t="s">
        <v>1254</v>
      </c>
      <c r="D488" s="8" t="s">
        <v>913</v>
      </c>
      <c r="E488" s="8" t="s">
        <v>1261</v>
      </c>
      <c r="F488" s="9">
        <v>44503</v>
      </c>
      <c r="G488" s="10">
        <f t="shared" ca="1" si="7"/>
        <v>4.0849315068493155</v>
      </c>
    </row>
    <row r="489" spans="1:7" x14ac:dyDescent="0.35">
      <c r="A489" s="8">
        <v>500710</v>
      </c>
      <c r="B489" s="8" t="s">
        <v>1262</v>
      </c>
      <c r="C489" s="8" t="s">
        <v>1263</v>
      </c>
      <c r="D489" s="8" t="s">
        <v>913</v>
      </c>
      <c r="E489" s="8" t="s">
        <v>1264</v>
      </c>
      <c r="F489" s="9">
        <v>43619</v>
      </c>
      <c r="G489" s="10">
        <f t="shared" ca="1" si="7"/>
        <v>6.506849315068493</v>
      </c>
    </row>
    <row r="490" spans="1:7" x14ac:dyDescent="0.35">
      <c r="A490" s="8">
        <v>101288</v>
      </c>
      <c r="B490" s="8" t="s">
        <v>1265</v>
      </c>
      <c r="C490" s="8" t="s">
        <v>1266</v>
      </c>
      <c r="D490" s="8" t="s">
        <v>913</v>
      </c>
      <c r="E490" s="8" t="s">
        <v>1267</v>
      </c>
      <c r="F490" s="9">
        <v>42065</v>
      </c>
      <c r="G490" s="10">
        <f t="shared" ca="1" si="7"/>
        <v>10.764383561643836</v>
      </c>
    </row>
    <row r="491" spans="1:7" x14ac:dyDescent="0.35">
      <c r="A491" s="8">
        <v>500711</v>
      </c>
      <c r="B491" s="8" t="s">
        <v>1268</v>
      </c>
      <c r="C491" s="8" t="s">
        <v>1266</v>
      </c>
      <c r="D491" s="8" t="s">
        <v>913</v>
      </c>
      <c r="E491" s="8" t="s">
        <v>1269</v>
      </c>
      <c r="F491" s="9">
        <v>43619</v>
      </c>
      <c r="G491" s="10">
        <f t="shared" ca="1" si="7"/>
        <v>6.506849315068493</v>
      </c>
    </row>
    <row r="492" spans="1:7" x14ac:dyDescent="0.35">
      <c r="A492" s="8">
        <v>501970</v>
      </c>
      <c r="B492" s="8" t="s">
        <v>1270</v>
      </c>
      <c r="C492" s="8" t="s">
        <v>1266</v>
      </c>
      <c r="D492" s="8" t="s">
        <v>913</v>
      </c>
      <c r="E492" s="8" t="s">
        <v>1271</v>
      </c>
      <c r="F492" s="9">
        <v>45544</v>
      </c>
      <c r="G492" s="10">
        <f t="shared" ca="1" si="7"/>
        <v>1.2328767123287672</v>
      </c>
    </row>
    <row r="493" spans="1:7" x14ac:dyDescent="0.35">
      <c r="A493" s="8">
        <v>501788</v>
      </c>
      <c r="B493" s="8" t="s">
        <v>1272</v>
      </c>
      <c r="C493" s="8" t="s">
        <v>1266</v>
      </c>
      <c r="D493" s="8" t="s">
        <v>913</v>
      </c>
      <c r="E493" s="8" t="s">
        <v>1273</v>
      </c>
      <c r="F493" s="9">
        <v>45355</v>
      </c>
      <c r="G493" s="10">
        <f t="shared" ca="1" si="7"/>
        <v>1.7506849315068493</v>
      </c>
    </row>
    <row r="494" spans="1:7" x14ac:dyDescent="0.35">
      <c r="A494" s="8">
        <v>500841</v>
      </c>
      <c r="B494" s="8" t="s">
        <v>1274</v>
      </c>
      <c r="C494" s="8" t="s">
        <v>1275</v>
      </c>
      <c r="D494" s="8" t="s">
        <v>913</v>
      </c>
      <c r="E494" s="8" t="s">
        <v>1276</v>
      </c>
      <c r="F494" s="9">
        <v>43788</v>
      </c>
      <c r="G494" s="10">
        <f t="shared" ca="1" si="7"/>
        <v>6.043835616438356</v>
      </c>
    </row>
    <row r="495" spans="1:7" x14ac:dyDescent="0.35">
      <c r="A495" s="8">
        <v>501331</v>
      </c>
      <c r="B495" s="8" t="s">
        <v>1277</v>
      </c>
      <c r="C495" s="8" t="s">
        <v>1278</v>
      </c>
      <c r="D495" s="8" t="s">
        <v>913</v>
      </c>
      <c r="E495" s="8" t="s">
        <v>1279</v>
      </c>
      <c r="F495" s="9">
        <v>44636</v>
      </c>
      <c r="G495" s="10">
        <f t="shared" ca="1" si="7"/>
        <v>3.7205479452054795</v>
      </c>
    </row>
    <row r="496" spans="1:7" x14ac:dyDescent="0.35">
      <c r="A496" s="8">
        <v>501326</v>
      </c>
      <c r="B496" s="8" t="s">
        <v>1280</v>
      </c>
      <c r="C496" s="8" t="s">
        <v>1281</v>
      </c>
      <c r="D496" s="8" t="s">
        <v>913</v>
      </c>
      <c r="E496" s="8" t="s">
        <v>1282</v>
      </c>
      <c r="F496" s="9">
        <v>44636</v>
      </c>
      <c r="G496" s="10">
        <f t="shared" ca="1" si="7"/>
        <v>3.7205479452054795</v>
      </c>
    </row>
    <row r="497" spans="1:7" x14ac:dyDescent="0.35">
      <c r="A497" s="8">
        <v>500071</v>
      </c>
      <c r="B497" s="8" t="s">
        <v>1283</v>
      </c>
      <c r="C497" s="8" t="s">
        <v>1284</v>
      </c>
      <c r="D497" s="8" t="s">
        <v>913</v>
      </c>
      <c r="E497" s="8" t="s">
        <v>1285</v>
      </c>
      <c r="F497" s="9">
        <v>40455</v>
      </c>
      <c r="G497" s="10">
        <f t="shared" ca="1" si="7"/>
        <v>15.175342465753424</v>
      </c>
    </row>
    <row r="498" spans="1:7" x14ac:dyDescent="0.35">
      <c r="A498" s="8">
        <v>500545</v>
      </c>
      <c r="B498" s="8" t="s">
        <v>1286</v>
      </c>
      <c r="C498" s="8" t="s">
        <v>1287</v>
      </c>
      <c r="D498" s="8" t="s">
        <v>913</v>
      </c>
      <c r="E498" s="8" t="s">
        <v>1288</v>
      </c>
      <c r="F498" s="9">
        <v>43374</v>
      </c>
      <c r="G498" s="10">
        <f t="shared" ca="1" si="7"/>
        <v>7.1780821917808222</v>
      </c>
    </row>
    <row r="499" spans="1:7" x14ac:dyDescent="0.35">
      <c r="A499" s="8">
        <v>500672</v>
      </c>
      <c r="B499" s="8" t="s">
        <v>1289</v>
      </c>
      <c r="C499" s="8" t="s">
        <v>1290</v>
      </c>
      <c r="D499" s="8" t="s">
        <v>913</v>
      </c>
      <c r="E499" s="8" t="s">
        <v>1291</v>
      </c>
      <c r="F499" s="9">
        <v>43571</v>
      </c>
      <c r="G499" s="10">
        <f t="shared" ca="1" si="7"/>
        <v>6.6383561643835618</v>
      </c>
    </row>
    <row r="500" spans="1:7" x14ac:dyDescent="0.35">
      <c r="A500" s="8">
        <v>101094</v>
      </c>
      <c r="B500" s="8" t="s">
        <v>1292</v>
      </c>
      <c r="C500" s="8" t="s">
        <v>1293</v>
      </c>
      <c r="D500" s="8" t="s">
        <v>913</v>
      </c>
      <c r="E500" s="8" t="s">
        <v>1294</v>
      </c>
      <c r="F500" s="9">
        <v>41792</v>
      </c>
      <c r="G500" s="10">
        <f t="shared" ca="1" si="7"/>
        <v>11.512328767123288</v>
      </c>
    </row>
    <row r="501" spans="1:7" x14ac:dyDescent="0.35">
      <c r="A501" s="8">
        <v>100842</v>
      </c>
      <c r="B501" s="8" t="s">
        <v>1295</v>
      </c>
      <c r="C501" s="8" t="s">
        <v>1296</v>
      </c>
      <c r="D501" s="8" t="s">
        <v>913</v>
      </c>
      <c r="E501" s="8" t="s">
        <v>1297</v>
      </c>
      <c r="F501" s="9">
        <v>41352</v>
      </c>
      <c r="G501" s="10">
        <f t="shared" ca="1" si="7"/>
        <v>12.717808219178082</v>
      </c>
    </row>
    <row r="502" spans="1:7" x14ac:dyDescent="0.35">
      <c r="A502" s="8">
        <v>501454</v>
      </c>
      <c r="B502" s="8" t="s">
        <v>1298</v>
      </c>
      <c r="C502" s="8" t="s">
        <v>1296</v>
      </c>
      <c r="D502" s="8" t="s">
        <v>913</v>
      </c>
      <c r="E502" s="8" t="s">
        <v>1299</v>
      </c>
      <c r="F502" s="9">
        <v>44789</v>
      </c>
      <c r="G502" s="10">
        <f t="shared" ca="1" si="7"/>
        <v>3.3013698630136985</v>
      </c>
    </row>
    <row r="503" spans="1:7" x14ac:dyDescent="0.35">
      <c r="A503" s="8">
        <v>502280</v>
      </c>
      <c r="B503" s="8" t="s">
        <v>1300</v>
      </c>
      <c r="C503" s="8" t="s">
        <v>1301</v>
      </c>
      <c r="D503" s="8" t="s">
        <v>913</v>
      </c>
      <c r="E503" s="8" t="s">
        <v>1302</v>
      </c>
      <c r="F503" s="9">
        <v>45859</v>
      </c>
      <c r="G503" s="10">
        <f t="shared" ca="1" si="7"/>
        <v>0.36986301369863012</v>
      </c>
    </row>
    <row r="504" spans="1:7" x14ac:dyDescent="0.35">
      <c r="A504" s="8">
        <v>100937</v>
      </c>
      <c r="B504" s="8" t="s">
        <v>1303</v>
      </c>
      <c r="C504" s="8" t="s">
        <v>1293</v>
      </c>
      <c r="D504" s="8" t="s">
        <v>913</v>
      </c>
      <c r="E504" s="8" t="s">
        <v>1304</v>
      </c>
      <c r="F504" s="9">
        <v>41505</v>
      </c>
      <c r="G504" s="10">
        <f t="shared" ca="1" si="7"/>
        <v>12.298630136986301</v>
      </c>
    </row>
    <row r="505" spans="1:7" x14ac:dyDescent="0.35">
      <c r="A505" s="8">
        <v>500426</v>
      </c>
      <c r="B505" s="8" t="s">
        <v>1305</v>
      </c>
      <c r="C505" s="8" t="s">
        <v>1306</v>
      </c>
      <c r="D505" s="8" t="s">
        <v>913</v>
      </c>
      <c r="E505" s="8" t="s">
        <v>1307</v>
      </c>
      <c r="F505" s="9">
        <v>43222</v>
      </c>
      <c r="G505" s="10">
        <f t="shared" ca="1" si="7"/>
        <v>7.5945205479452058</v>
      </c>
    </row>
    <row r="506" spans="1:7" x14ac:dyDescent="0.35">
      <c r="A506" s="8">
        <v>502089</v>
      </c>
      <c r="B506" s="8" t="s">
        <v>1308</v>
      </c>
      <c r="C506" s="8" t="s">
        <v>1309</v>
      </c>
      <c r="D506" s="8" t="s">
        <v>913</v>
      </c>
      <c r="E506" s="8" t="s">
        <v>1310</v>
      </c>
      <c r="F506" s="9">
        <v>45845</v>
      </c>
      <c r="G506" s="10">
        <f t="shared" ca="1" si="7"/>
        <v>0.40821917808219177</v>
      </c>
    </row>
    <row r="507" spans="1:7" x14ac:dyDescent="0.35">
      <c r="A507" s="8">
        <v>500749</v>
      </c>
      <c r="B507" s="8" t="s">
        <v>1311</v>
      </c>
      <c r="C507" s="8" t="s">
        <v>1309</v>
      </c>
      <c r="D507" s="8" t="s">
        <v>913</v>
      </c>
      <c r="E507" s="8" t="s">
        <v>1312</v>
      </c>
      <c r="F507" s="9">
        <v>43678</v>
      </c>
      <c r="G507" s="10">
        <f t="shared" ca="1" si="7"/>
        <v>6.3452054794520549</v>
      </c>
    </row>
    <row r="508" spans="1:7" x14ac:dyDescent="0.35">
      <c r="A508" s="8">
        <v>500748</v>
      </c>
      <c r="B508" s="8" t="s">
        <v>1313</v>
      </c>
      <c r="C508" s="8" t="s">
        <v>1309</v>
      </c>
      <c r="D508" s="8" t="s">
        <v>913</v>
      </c>
      <c r="E508" s="8" t="s">
        <v>1314</v>
      </c>
      <c r="F508" s="9">
        <v>43678</v>
      </c>
      <c r="G508" s="10">
        <f t="shared" ca="1" si="7"/>
        <v>6.3452054794520549</v>
      </c>
    </row>
    <row r="509" spans="1:7" x14ac:dyDescent="0.35">
      <c r="A509" s="8">
        <v>500878</v>
      </c>
      <c r="B509" s="8" t="s">
        <v>1315</v>
      </c>
      <c r="C509" s="8" t="s">
        <v>1309</v>
      </c>
      <c r="D509" s="8" t="s">
        <v>913</v>
      </c>
      <c r="E509" s="8" t="s">
        <v>1316</v>
      </c>
      <c r="F509" s="9">
        <v>43846</v>
      </c>
      <c r="G509" s="10">
        <f t="shared" ca="1" si="7"/>
        <v>5.8849315068493153</v>
      </c>
    </row>
    <row r="510" spans="1:7" x14ac:dyDescent="0.35">
      <c r="A510" s="8">
        <v>502282</v>
      </c>
      <c r="B510" s="8" t="s">
        <v>1317</v>
      </c>
      <c r="C510" s="8" t="s">
        <v>1309</v>
      </c>
      <c r="D510" s="8" t="s">
        <v>913</v>
      </c>
      <c r="E510" s="8" t="s">
        <v>1318</v>
      </c>
      <c r="F510" s="9">
        <v>45859</v>
      </c>
      <c r="G510" s="10">
        <f t="shared" ca="1" si="7"/>
        <v>0.36986301369863012</v>
      </c>
    </row>
    <row r="511" spans="1:7" x14ac:dyDescent="0.35">
      <c r="A511" s="8">
        <v>501463</v>
      </c>
      <c r="B511" s="8" t="s">
        <v>1319</v>
      </c>
      <c r="C511" s="8" t="s">
        <v>1309</v>
      </c>
      <c r="D511" s="8" t="s">
        <v>913</v>
      </c>
      <c r="E511" s="8" t="s">
        <v>1320</v>
      </c>
      <c r="F511" s="9">
        <v>44805</v>
      </c>
      <c r="G511" s="10">
        <f t="shared" ca="1" si="7"/>
        <v>3.2575342465753425</v>
      </c>
    </row>
    <row r="512" spans="1:7" x14ac:dyDescent="0.35">
      <c r="A512" s="8">
        <v>502153</v>
      </c>
      <c r="B512" s="8" t="s">
        <v>1321</v>
      </c>
      <c r="C512" s="8" t="s">
        <v>1309</v>
      </c>
      <c r="D512" s="8" t="s">
        <v>913</v>
      </c>
      <c r="E512" s="8" t="s">
        <v>1322</v>
      </c>
      <c r="F512" s="9">
        <v>45754</v>
      </c>
      <c r="G512" s="10">
        <f t="shared" ca="1" si="7"/>
        <v>0.65753424657534243</v>
      </c>
    </row>
    <row r="513" spans="1:7" x14ac:dyDescent="0.35">
      <c r="A513" s="5">
        <v>502506</v>
      </c>
      <c r="B513" s="5" t="s">
        <v>1323</v>
      </c>
      <c r="C513" s="5" t="s">
        <v>1309</v>
      </c>
      <c r="D513" s="5" t="s">
        <v>913</v>
      </c>
      <c r="E513" s="5" t="s">
        <v>1324</v>
      </c>
      <c r="F513" s="6">
        <v>45936</v>
      </c>
      <c r="G513" s="7">
        <f t="shared" ca="1" si="7"/>
        <v>0.15890410958904111</v>
      </c>
    </row>
    <row r="514" spans="1:7" x14ac:dyDescent="0.35">
      <c r="A514" s="8">
        <v>502349</v>
      </c>
      <c r="B514" s="8" t="s">
        <v>1325</v>
      </c>
      <c r="C514" s="8" t="s">
        <v>1326</v>
      </c>
      <c r="D514" s="8" t="s">
        <v>913</v>
      </c>
      <c r="E514" s="8" t="s">
        <v>1327</v>
      </c>
      <c r="F514" s="9">
        <v>45887</v>
      </c>
      <c r="G514" s="10">
        <f t="shared" ca="1" si="7"/>
        <v>0.29315068493150687</v>
      </c>
    </row>
    <row r="515" spans="1:7" x14ac:dyDescent="0.35">
      <c r="A515" s="8">
        <v>502348</v>
      </c>
      <c r="B515" s="8" t="s">
        <v>1328</v>
      </c>
      <c r="C515" s="8" t="s">
        <v>1329</v>
      </c>
      <c r="D515" s="8" t="s">
        <v>913</v>
      </c>
      <c r="E515" s="8" t="s">
        <v>1330</v>
      </c>
      <c r="F515" s="9">
        <v>45887</v>
      </c>
      <c r="G515" s="10">
        <f t="shared" ca="1" si="7"/>
        <v>0.29315068493150687</v>
      </c>
    </row>
    <row r="516" spans="1:7" x14ac:dyDescent="0.35">
      <c r="A516" s="8">
        <v>100709</v>
      </c>
      <c r="B516" s="8" t="s">
        <v>1331</v>
      </c>
      <c r="C516" s="8" t="s">
        <v>1296</v>
      </c>
      <c r="D516" s="8" t="s">
        <v>913</v>
      </c>
      <c r="E516" s="8" t="s">
        <v>1332</v>
      </c>
      <c r="F516" s="9">
        <v>41106</v>
      </c>
      <c r="G516" s="10">
        <f t="shared" ca="1" si="7"/>
        <v>13.391780821917807</v>
      </c>
    </row>
    <row r="517" spans="1:7" x14ac:dyDescent="0.35">
      <c r="A517" s="8">
        <v>502201</v>
      </c>
      <c r="B517" s="8" t="s">
        <v>1333</v>
      </c>
      <c r="C517" s="8" t="s">
        <v>1296</v>
      </c>
      <c r="D517" s="8" t="s">
        <v>913</v>
      </c>
      <c r="E517" s="8" t="s">
        <v>1334</v>
      </c>
      <c r="F517" s="9">
        <v>45796</v>
      </c>
      <c r="G517" s="10">
        <f t="shared" ref="G517:G580" ca="1" si="8">($G$1-F517)/365</f>
        <v>0.54246575342465753</v>
      </c>
    </row>
    <row r="518" spans="1:7" x14ac:dyDescent="0.35">
      <c r="A518" s="8">
        <v>500502</v>
      </c>
      <c r="B518" s="8" t="s">
        <v>1335</v>
      </c>
      <c r="C518" s="8" t="s">
        <v>1329</v>
      </c>
      <c r="D518" s="8" t="s">
        <v>913</v>
      </c>
      <c r="E518" s="8" t="s">
        <v>1336</v>
      </c>
      <c r="F518" s="9">
        <v>45677</v>
      </c>
      <c r="G518" s="10">
        <f t="shared" ca="1" si="8"/>
        <v>0.86849315068493149</v>
      </c>
    </row>
    <row r="519" spans="1:7" x14ac:dyDescent="0.35">
      <c r="A519" s="8">
        <v>502102</v>
      </c>
      <c r="B519" s="8" t="s">
        <v>1337</v>
      </c>
      <c r="C519" s="8" t="s">
        <v>1296</v>
      </c>
      <c r="D519" s="8" t="s">
        <v>913</v>
      </c>
      <c r="E519" s="8" t="s">
        <v>1338</v>
      </c>
      <c r="F519" s="9">
        <v>45692</v>
      </c>
      <c r="G519" s="10">
        <f t="shared" ca="1" si="8"/>
        <v>0.82739726027397265</v>
      </c>
    </row>
    <row r="520" spans="1:7" x14ac:dyDescent="0.35">
      <c r="A520" s="8">
        <v>1789</v>
      </c>
      <c r="B520" s="8" t="s">
        <v>1339</v>
      </c>
      <c r="C520" s="8" t="s">
        <v>1296</v>
      </c>
      <c r="D520" s="8" t="s">
        <v>913</v>
      </c>
      <c r="E520" s="8" t="s">
        <v>1340</v>
      </c>
      <c r="F520" s="9">
        <v>42842</v>
      </c>
      <c r="G520" s="10">
        <f t="shared" ca="1" si="8"/>
        <v>8.6356164383561644</v>
      </c>
    </row>
    <row r="521" spans="1:7" x14ac:dyDescent="0.35">
      <c r="A521" s="8">
        <v>500993</v>
      </c>
      <c r="B521" s="8" t="s">
        <v>1341</v>
      </c>
      <c r="C521" s="8" t="s">
        <v>1342</v>
      </c>
      <c r="D521" s="8" t="s">
        <v>913</v>
      </c>
      <c r="E521" s="8" t="s">
        <v>1343</v>
      </c>
      <c r="F521" s="9">
        <v>44291</v>
      </c>
      <c r="G521" s="10">
        <f t="shared" ca="1" si="8"/>
        <v>4.6657534246575345</v>
      </c>
    </row>
    <row r="522" spans="1:7" x14ac:dyDescent="0.35">
      <c r="A522" s="8">
        <v>501910</v>
      </c>
      <c r="B522" s="8" t="s">
        <v>1344</v>
      </c>
      <c r="C522" s="8" t="s">
        <v>1329</v>
      </c>
      <c r="D522" s="8" t="s">
        <v>913</v>
      </c>
      <c r="E522" s="8" t="s">
        <v>1345</v>
      </c>
      <c r="F522" s="9">
        <v>45489</v>
      </c>
      <c r="G522" s="10">
        <f t="shared" ca="1" si="8"/>
        <v>1.3835616438356164</v>
      </c>
    </row>
    <row r="523" spans="1:7" x14ac:dyDescent="0.35">
      <c r="A523" s="8">
        <v>100850</v>
      </c>
      <c r="B523" s="8" t="s">
        <v>1346</v>
      </c>
      <c r="C523" s="8" t="s">
        <v>1347</v>
      </c>
      <c r="D523" s="8" t="s">
        <v>913</v>
      </c>
      <c r="E523" s="8" t="s">
        <v>1348</v>
      </c>
      <c r="F523" s="9">
        <v>41365</v>
      </c>
      <c r="G523" s="10">
        <f t="shared" ca="1" si="8"/>
        <v>12.682191780821919</v>
      </c>
    </row>
    <row r="524" spans="1:7" x14ac:dyDescent="0.35">
      <c r="A524" s="8">
        <v>500493</v>
      </c>
      <c r="B524" s="8" t="s">
        <v>1349</v>
      </c>
      <c r="C524" s="8" t="s">
        <v>1350</v>
      </c>
      <c r="D524" s="8" t="s">
        <v>913</v>
      </c>
      <c r="E524" s="8" t="s">
        <v>1351</v>
      </c>
      <c r="F524" s="9">
        <v>43313</v>
      </c>
      <c r="G524" s="10">
        <f t="shared" ca="1" si="8"/>
        <v>7.3452054794520549</v>
      </c>
    </row>
    <row r="525" spans="1:7" x14ac:dyDescent="0.35">
      <c r="A525" s="8">
        <v>502299</v>
      </c>
      <c r="B525" s="8" t="s">
        <v>1352</v>
      </c>
      <c r="C525" s="8" t="s">
        <v>1350</v>
      </c>
      <c r="D525" s="8" t="s">
        <v>913</v>
      </c>
      <c r="E525" s="8" t="s">
        <v>1353</v>
      </c>
      <c r="F525" s="9">
        <v>45873</v>
      </c>
      <c r="G525" s="10">
        <f t="shared" ca="1" si="8"/>
        <v>0.33150684931506852</v>
      </c>
    </row>
    <row r="526" spans="1:7" x14ac:dyDescent="0.35">
      <c r="A526" s="8">
        <v>502313</v>
      </c>
      <c r="B526" s="8" t="s">
        <v>1354</v>
      </c>
      <c r="C526" s="8" t="s">
        <v>1350</v>
      </c>
      <c r="D526" s="8" t="s">
        <v>913</v>
      </c>
      <c r="E526" s="8" t="s">
        <v>1355</v>
      </c>
      <c r="F526" s="9">
        <v>45873</v>
      </c>
      <c r="G526" s="10">
        <f t="shared" ca="1" si="8"/>
        <v>0.33150684931506852</v>
      </c>
    </row>
    <row r="527" spans="1:7" x14ac:dyDescent="0.35">
      <c r="A527" s="8">
        <v>501210</v>
      </c>
      <c r="B527" s="8" t="s">
        <v>1356</v>
      </c>
      <c r="C527" s="8" t="s">
        <v>1350</v>
      </c>
      <c r="D527" s="8" t="s">
        <v>913</v>
      </c>
      <c r="E527" s="8" t="s">
        <v>1357</v>
      </c>
      <c r="F527" s="9">
        <v>44348</v>
      </c>
      <c r="G527" s="10">
        <f t="shared" ca="1" si="8"/>
        <v>4.5095890410958903</v>
      </c>
    </row>
    <row r="528" spans="1:7" x14ac:dyDescent="0.35">
      <c r="A528" s="8">
        <v>502315</v>
      </c>
      <c r="B528" s="8" t="s">
        <v>1358</v>
      </c>
      <c r="C528" s="8" t="s">
        <v>1350</v>
      </c>
      <c r="D528" s="8" t="s">
        <v>913</v>
      </c>
      <c r="E528" s="8" t="s">
        <v>1359</v>
      </c>
      <c r="F528" s="9">
        <v>45873</v>
      </c>
      <c r="G528" s="10">
        <f t="shared" ca="1" si="8"/>
        <v>0.33150684931506852</v>
      </c>
    </row>
    <row r="529" spans="1:7" x14ac:dyDescent="0.35">
      <c r="A529" s="8">
        <v>502287</v>
      </c>
      <c r="B529" s="8" t="s">
        <v>1360</v>
      </c>
      <c r="C529" s="8" t="s">
        <v>1350</v>
      </c>
      <c r="D529" s="8" t="s">
        <v>913</v>
      </c>
      <c r="E529" s="8" t="s">
        <v>1361</v>
      </c>
      <c r="F529" s="9">
        <v>45859</v>
      </c>
      <c r="G529" s="10">
        <f t="shared" ca="1" si="8"/>
        <v>0.36986301369863012</v>
      </c>
    </row>
    <row r="530" spans="1:7" x14ac:dyDescent="0.35">
      <c r="A530" s="8">
        <v>501842</v>
      </c>
      <c r="B530" s="8" t="s">
        <v>1362</v>
      </c>
      <c r="C530" s="8" t="s">
        <v>1350</v>
      </c>
      <c r="D530" s="8" t="s">
        <v>913</v>
      </c>
      <c r="E530" s="8" t="s">
        <v>1363</v>
      </c>
      <c r="F530" s="9">
        <v>45428</v>
      </c>
      <c r="G530" s="10">
        <f t="shared" ca="1" si="8"/>
        <v>1.5506849315068494</v>
      </c>
    </row>
    <row r="531" spans="1:7" x14ac:dyDescent="0.35">
      <c r="A531" s="8">
        <v>100454</v>
      </c>
      <c r="B531" s="8" t="s">
        <v>1364</v>
      </c>
      <c r="C531" s="8" t="s">
        <v>1365</v>
      </c>
      <c r="D531" s="8" t="s">
        <v>913</v>
      </c>
      <c r="E531" s="8" t="s">
        <v>1366</v>
      </c>
      <c r="F531" s="9">
        <v>40590</v>
      </c>
      <c r="G531" s="10">
        <f t="shared" ca="1" si="8"/>
        <v>14.805479452054794</v>
      </c>
    </row>
    <row r="532" spans="1:7" x14ac:dyDescent="0.35">
      <c r="A532" s="8">
        <v>502322</v>
      </c>
      <c r="B532" s="8" t="s">
        <v>1367</v>
      </c>
      <c r="C532" s="8" t="s">
        <v>1368</v>
      </c>
      <c r="D532" s="8" t="s">
        <v>913</v>
      </c>
      <c r="E532" s="8" t="s">
        <v>1369</v>
      </c>
      <c r="F532" s="9">
        <v>45880</v>
      </c>
      <c r="G532" s="10">
        <f t="shared" ca="1" si="8"/>
        <v>0.31232876712328766</v>
      </c>
    </row>
    <row r="533" spans="1:7" x14ac:dyDescent="0.35">
      <c r="A533" s="8">
        <v>1922</v>
      </c>
      <c r="B533" s="8" t="s">
        <v>1370</v>
      </c>
      <c r="C533" s="8" t="s">
        <v>1371</v>
      </c>
      <c r="D533" s="8" t="s">
        <v>913</v>
      </c>
      <c r="E533" s="8" t="s">
        <v>1372</v>
      </c>
      <c r="F533" s="9">
        <v>42982</v>
      </c>
      <c r="G533" s="10">
        <f t="shared" ca="1" si="8"/>
        <v>8.2520547945205482</v>
      </c>
    </row>
    <row r="534" spans="1:7" x14ac:dyDescent="0.35">
      <c r="A534" s="8">
        <v>502350</v>
      </c>
      <c r="B534" s="8" t="s">
        <v>1373</v>
      </c>
      <c r="C534" s="8" t="s">
        <v>1374</v>
      </c>
      <c r="D534" s="8" t="s">
        <v>913</v>
      </c>
      <c r="E534" s="8" t="s">
        <v>1375</v>
      </c>
      <c r="F534" s="9">
        <v>45887</v>
      </c>
      <c r="G534" s="10">
        <f t="shared" ca="1" si="8"/>
        <v>0.29315068493150687</v>
      </c>
    </row>
    <row r="535" spans="1:7" x14ac:dyDescent="0.35">
      <c r="A535" s="8">
        <v>502327</v>
      </c>
      <c r="B535" s="8" t="s">
        <v>1376</v>
      </c>
      <c r="C535" s="8" t="s">
        <v>1377</v>
      </c>
      <c r="D535" s="8" t="s">
        <v>913</v>
      </c>
      <c r="E535" s="8" t="s">
        <v>1378</v>
      </c>
      <c r="F535" s="9">
        <v>45880</v>
      </c>
      <c r="G535" s="10">
        <f t="shared" ca="1" si="8"/>
        <v>0.31232876712328766</v>
      </c>
    </row>
    <row r="536" spans="1:7" x14ac:dyDescent="0.35">
      <c r="A536" s="8">
        <v>502370</v>
      </c>
      <c r="B536" s="8" t="s">
        <v>1379</v>
      </c>
      <c r="C536" s="8" t="s">
        <v>1374</v>
      </c>
      <c r="D536" s="8" t="s">
        <v>913</v>
      </c>
      <c r="E536" s="8" t="s">
        <v>1380</v>
      </c>
      <c r="F536" s="9">
        <v>45889</v>
      </c>
      <c r="G536" s="10">
        <f t="shared" ca="1" si="8"/>
        <v>0.28767123287671231</v>
      </c>
    </row>
    <row r="537" spans="1:7" x14ac:dyDescent="0.35">
      <c r="A537" s="5">
        <v>502482</v>
      </c>
      <c r="B537" s="5" t="s">
        <v>1381</v>
      </c>
      <c r="C537" s="5" t="s">
        <v>1374</v>
      </c>
      <c r="D537" s="5" t="s">
        <v>913</v>
      </c>
      <c r="E537" s="5" t="s">
        <v>1382</v>
      </c>
      <c r="F537" s="6">
        <v>45917</v>
      </c>
      <c r="G537" s="7">
        <f t="shared" ca="1" si="8"/>
        <v>0.21095890410958903</v>
      </c>
    </row>
    <row r="538" spans="1:7" x14ac:dyDescent="0.35">
      <c r="A538" s="8">
        <v>502386</v>
      </c>
      <c r="B538" s="8" t="s">
        <v>1383</v>
      </c>
      <c r="C538" s="8" t="s">
        <v>1374</v>
      </c>
      <c r="D538" s="8" t="s">
        <v>913</v>
      </c>
      <c r="E538" s="8" t="s">
        <v>1384</v>
      </c>
      <c r="F538" s="9">
        <v>45901</v>
      </c>
      <c r="G538" s="10">
        <f t="shared" ca="1" si="8"/>
        <v>0.25479452054794521</v>
      </c>
    </row>
    <row r="539" spans="1:7" x14ac:dyDescent="0.35">
      <c r="A539" s="5">
        <v>502483</v>
      </c>
      <c r="B539" s="5" t="s">
        <v>1385</v>
      </c>
      <c r="C539" s="5" t="s">
        <v>1374</v>
      </c>
      <c r="D539" s="5" t="s">
        <v>913</v>
      </c>
      <c r="E539" s="5" t="s">
        <v>1386</v>
      </c>
      <c r="F539" s="6">
        <v>45917</v>
      </c>
      <c r="G539" s="7">
        <f t="shared" ca="1" si="8"/>
        <v>0.21095890410958903</v>
      </c>
    </row>
    <row r="540" spans="1:7" x14ac:dyDescent="0.35">
      <c r="A540" s="5">
        <v>502530</v>
      </c>
      <c r="B540" s="5" t="s">
        <v>1387</v>
      </c>
      <c r="C540" s="5" t="s">
        <v>1374</v>
      </c>
      <c r="D540" s="5" t="s">
        <v>913</v>
      </c>
      <c r="E540" s="5" t="s">
        <v>1388</v>
      </c>
      <c r="F540" s="6">
        <v>45950</v>
      </c>
      <c r="G540" s="7">
        <f t="shared" ca="1" si="8"/>
        <v>0.12054794520547946</v>
      </c>
    </row>
    <row r="541" spans="1:7" x14ac:dyDescent="0.35">
      <c r="A541" s="5">
        <v>502532</v>
      </c>
      <c r="B541" s="5" t="s">
        <v>1389</v>
      </c>
      <c r="C541" s="5" t="s">
        <v>1374</v>
      </c>
      <c r="D541" s="5" t="s">
        <v>913</v>
      </c>
      <c r="E541" s="5" t="s">
        <v>1390</v>
      </c>
      <c r="F541" s="6">
        <v>45950</v>
      </c>
      <c r="G541" s="7">
        <f t="shared" ca="1" si="8"/>
        <v>0.12054794520547946</v>
      </c>
    </row>
    <row r="542" spans="1:7" x14ac:dyDescent="0.35">
      <c r="A542" s="5">
        <v>502509</v>
      </c>
      <c r="B542" s="5" t="s">
        <v>1391</v>
      </c>
      <c r="C542" s="5" t="s">
        <v>1374</v>
      </c>
      <c r="D542" s="5" t="s">
        <v>913</v>
      </c>
      <c r="E542" s="5" t="s">
        <v>1392</v>
      </c>
      <c r="F542" s="6">
        <v>45936</v>
      </c>
      <c r="G542" s="7">
        <f t="shared" ca="1" si="8"/>
        <v>0.15890410958904111</v>
      </c>
    </row>
    <row r="543" spans="1:7" x14ac:dyDescent="0.35">
      <c r="A543" s="8">
        <v>100958</v>
      </c>
      <c r="B543" s="8" t="s">
        <v>1393</v>
      </c>
      <c r="C543" s="8" t="s">
        <v>1394</v>
      </c>
      <c r="D543" s="8" t="s">
        <v>913</v>
      </c>
      <c r="E543" s="8" t="s">
        <v>1395</v>
      </c>
      <c r="F543" s="9">
        <v>41548</v>
      </c>
      <c r="G543" s="10">
        <f t="shared" ca="1" si="8"/>
        <v>12.180821917808219</v>
      </c>
    </row>
    <row r="544" spans="1:7" x14ac:dyDescent="0.35">
      <c r="A544" s="8">
        <v>502351</v>
      </c>
      <c r="B544" s="8" t="s">
        <v>1396</v>
      </c>
      <c r="C544" s="8" t="s">
        <v>1374</v>
      </c>
      <c r="D544" s="8" t="s">
        <v>913</v>
      </c>
      <c r="E544" s="8" t="s">
        <v>1397</v>
      </c>
      <c r="F544" s="9">
        <v>45887</v>
      </c>
      <c r="G544" s="10">
        <f t="shared" ca="1" si="8"/>
        <v>0.29315068493150687</v>
      </c>
    </row>
    <row r="545" spans="1:7" x14ac:dyDescent="0.35">
      <c r="A545" s="8">
        <v>501979</v>
      </c>
      <c r="B545" s="8" t="s">
        <v>1398</v>
      </c>
      <c r="C545" s="8" t="s">
        <v>1374</v>
      </c>
      <c r="D545" s="8" t="s">
        <v>913</v>
      </c>
      <c r="E545" s="8" t="s">
        <v>1399</v>
      </c>
      <c r="F545" s="9">
        <v>45552</v>
      </c>
      <c r="G545" s="10">
        <f t="shared" ca="1" si="8"/>
        <v>1.210958904109589</v>
      </c>
    </row>
    <row r="546" spans="1:7" x14ac:dyDescent="0.35">
      <c r="A546" s="8">
        <v>501704</v>
      </c>
      <c r="B546" s="8" t="s">
        <v>1400</v>
      </c>
      <c r="C546" s="8" t="s">
        <v>1374</v>
      </c>
      <c r="D546" s="8" t="s">
        <v>913</v>
      </c>
      <c r="E546" s="8" t="s">
        <v>1401</v>
      </c>
      <c r="F546" s="9">
        <v>45215</v>
      </c>
      <c r="G546" s="10">
        <f t="shared" ca="1" si="8"/>
        <v>2.1342465753424658</v>
      </c>
    </row>
    <row r="547" spans="1:7" x14ac:dyDescent="0.35">
      <c r="A547" s="8">
        <v>501871</v>
      </c>
      <c r="B547" s="8" t="s">
        <v>1402</v>
      </c>
      <c r="C547" s="8" t="s">
        <v>1374</v>
      </c>
      <c r="D547" s="8" t="s">
        <v>913</v>
      </c>
      <c r="E547" s="8" t="s">
        <v>1403</v>
      </c>
      <c r="F547" s="9">
        <v>45453</v>
      </c>
      <c r="G547" s="10">
        <f t="shared" ca="1" si="8"/>
        <v>1.4821917808219178</v>
      </c>
    </row>
    <row r="548" spans="1:7" x14ac:dyDescent="0.35">
      <c r="A548" s="8">
        <v>502465</v>
      </c>
      <c r="B548" s="8" t="s">
        <v>1404</v>
      </c>
      <c r="C548" s="8" t="s">
        <v>1405</v>
      </c>
      <c r="D548" s="8" t="s">
        <v>913</v>
      </c>
      <c r="E548" s="8" t="s">
        <v>1406</v>
      </c>
      <c r="F548" s="9">
        <v>41821</v>
      </c>
      <c r="G548" s="10">
        <f t="shared" ca="1" si="8"/>
        <v>11.432876712328767</v>
      </c>
    </row>
    <row r="549" spans="1:7" x14ac:dyDescent="0.35">
      <c r="A549" s="8">
        <v>502441</v>
      </c>
      <c r="B549" s="8" t="s">
        <v>1407</v>
      </c>
      <c r="C549" s="8" t="s">
        <v>1408</v>
      </c>
      <c r="D549" s="8" t="s">
        <v>913</v>
      </c>
      <c r="E549" s="8" t="s">
        <v>1409</v>
      </c>
      <c r="F549" s="9">
        <v>45600</v>
      </c>
      <c r="G549" s="10">
        <f t="shared" ca="1" si="8"/>
        <v>1.0794520547945206</v>
      </c>
    </row>
    <row r="550" spans="1:7" x14ac:dyDescent="0.35">
      <c r="A550" s="8">
        <v>502455</v>
      </c>
      <c r="B550" s="8" t="s">
        <v>1410</v>
      </c>
      <c r="C550" s="8" t="s">
        <v>1408</v>
      </c>
      <c r="D550" s="8" t="s">
        <v>913</v>
      </c>
      <c r="E550" s="8" t="s">
        <v>1411</v>
      </c>
      <c r="F550" s="9">
        <v>44121</v>
      </c>
      <c r="G550" s="10">
        <f t="shared" ca="1" si="8"/>
        <v>5.1315068493150688</v>
      </c>
    </row>
    <row r="551" spans="1:7" x14ac:dyDescent="0.35">
      <c r="A551" s="8">
        <v>502423</v>
      </c>
      <c r="B551" s="8" t="s">
        <v>1412</v>
      </c>
      <c r="C551" s="8" t="s">
        <v>1413</v>
      </c>
      <c r="D551" s="8" t="s">
        <v>913</v>
      </c>
      <c r="E551" s="8" t="s">
        <v>1414</v>
      </c>
      <c r="F551" s="9">
        <v>44484</v>
      </c>
      <c r="G551" s="10">
        <f t="shared" ca="1" si="8"/>
        <v>4.1369863013698627</v>
      </c>
    </row>
    <row r="552" spans="1:7" x14ac:dyDescent="0.35">
      <c r="A552" s="8">
        <v>502393</v>
      </c>
      <c r="B552" s="8" t="s">
        <v>1415</v>
      </c>
      <c r="C552" s="8" t="s">
        <v>1408</v>
      </c>
      <c r="D552" s="8" t="s">
        <v>913</v>
      </c>
      <c r="E552" s="8" t="s">
        <v>1416</v>
      </c>
      <c r="F552" s="9">
        <v>44501</v>
      </c>
      <c r="G552" s="10">
        <f t="shared" ca="1" si="8"/>
        <v>4.0904109589041093</v>
      </c>
    </row>
    <row r="553" spans="1:7" x14ac:dyDescent="0.35">
      <c r="A553" s="8">
        <v>502440</v>
      </c>
      <c r="B553" s="8" t="s">
        <v>1417</v>
      </c>
      <c r="C553" s="8" t="s">
        <v>1408</v>
      </c>
      <c r="D553" s="8" t="s">
        <v>913</v>
      </c>
      <c r="E553" s="8" t="s">
        <v>1418</v>
      </c>
      <c r="F553" s="9">
        <v>44501</v>
      </c>
      <c r="G553" s="10">
        <f t="shared" ca="1" si="8"/>
        <v>4.0904109589041093</v>
      </c>
    </row>
    <row r="554" spans="1:7" x14ac:dyDescent="0.35">
      <c r="A554" s="8">
        <v>502399</v>
      </c>
      <c r="B554" s="8" t="s">
        <v>1419</v>
      </c>
      <c r="C554" s="8" t="s">
        <v>1408</v>
      </c>
      <c r="D554" s="8" t="s">
        <v>913</v>
      </c>
      <c r="E554" s="8" t="s">
        <v>1420</v>
      </c>
      <c r="F554" s="9">
        <v>42705</v>
      </c>
      <c r="G554" s="10">
        <f t="shared" ca="1" si="8"/>
        <v>9.0109589041095894</v>
      </c>
    </row>
    <row r="555" spans="1:7" x14ac:dyDescent="0.35">
      <c r="A555" s="8">
        <v>502409</v>
      </c>
      <c r="B555" s="8" t="s">
        <v>1421</v>
      </c>
      <c r="C555" s="8" t="s">
        <v>1422</v>
      </c>
      <c r="D555" s="8" t="s">
        <v>913</v>
      </c>
      <c r="E555" s="8" t="s">
        <v>1423</v>
      </c>
      <c r="F555" s="9">
        <v>44484</v>
      </c>
      <c r="G555" s="10">
        <f t="shared" ca="1" si="8"/>
        <v>4.1369863013698627</v>
      </c>
    </row>
    <row r="556" spans="1:7" x14ac:dyDescent="0.35">
      <c r="A556" s="8">
        <v>502447</v>
      </c>
      <c r="B556" s="8" t="s">
        <v>1424</v>
      </c>
      <c r="C556" s="8" t="s">
        <v>1408</v>
      </c>
      <c r="D556" s="8" t="s">
        <v>913</v>
      </c>
      <c r="E556" s="8" t="s">
        <v>1425</v>
      </c>
      <c r="F556" s="9">
        <v>44516</v>
      </c>
      <c r="G556" s="10">
        <f t="shared" ca="1" si="8"/>
        <v>4.0493150684931507</v>
      </c>
    </row>
    <row r="557" spans="1:7" x14ac:dyDescent="0.35">
      <c r="A557" s="8">
        <v>502445</v>
      </c>
      <c r="B557" s="8" t="s">
        <v>1426</v>
      </c>
      <c r="C557" s="8" t="s">
        <v>1408</v>
      </c>
      <c r="D557" s="8" t="s">
        <v>913</v>
      </c>
      <c r="E557" s="8" t="s">
        <v>1427</v>
      </c>
      <c r="F557" s="9">
        <v>44501</v>
      </c>
      <c r="G557" s="10">
        <f t="shared" ca="1" si="8"/>
        <v>4.0904109589041093</v>
      </c>
    </row>
    <row r="558" spans="1:7" x14ac:dyDescent="0.35">
      <c r="A558" s="8">
        <v>502412</v>
      </c>
      <c r="B558" s="8" t="s">
        <v>1428</v>
      </c>
      <c r="C558" s="8" t="s">
        <v>1408</v>
      </c>
      <c r="D558" s="8" t="s">
        <v>913</v>
      </c>
      <c r="E558" s="8" t="s">
        <v>1429</v>
      </c>
      <c r="F558" s="9">
        <v>44484</v>
      </c>
      <c r="G558" s="10">
        <f t="shared" ca="1" si="8"/>
        <v>4.1369863013698627</v>
      </c>
    </row>
    <row r="559" spans="1:7" x14ac:dyDescent="0.35">
      <c r="A559" s="8">
        <v>502394</v>
      </c>
      <c r="B559" s="8" t="s">
        <v>1430</v>
      </c>
      <c r="C559" s="8" t="s">
        <v>1408</v>
      </c>
      <c r="D559" s="8" t="s">
        <v>913</v>
      </c>
      <c r="E559" s="8" t="s">
        <v>1431</v>
      </c>
      <c r="F559" s="9">
        <v>45831</v>
      </c>
      <c r="G559" s="10">
        <f t="shared" ca="1" si="8"/>
        <v>0.44657534246575342</v>
      </c>
    </row>
    <row r="560" spans="1:7" x14ac:dyDescent="0.35">
      <c r="A560" s="8">
        <v>502395</v>
      </c>
      <c r="B560" s="8" t="s">
        <v>1432</v>
      </c>
      <c r="C560" s="8" t="s">
        <v>1408</v>
      </c>
      <c r="D560" s="8" t="s">
        <v>913</v>
      </c>
      <c r="E560" s="8" t="s">
        <v>1433</v>
      </c>
      <c r="F560" s="9">
        <v>45832</v>
      </c>
      <c r="G560" s="10">
        <f t="shared" ca="1" si="8"/>
        <v>0.44383561643835617</v>
      </c>
    </row>
    <row r="561" spans="1:7" x14ac:dyDescent="0.35">
      <c r="A561" s="8">
        <v>502456</v>
      </c>
      <c r="B561" s="8" t="s">
        <v>1434</v>
      </c>
      <c r="C561" s="8" t="s">
        <v>1435</v>
      </c>
      <c r="D561" s="8" t="s">
        <v>913</v>
      </c>
      <c r="E561" s="8" t="s">
        <v>1436</v>
      </c>
      <c r="F561" s="9">
        <v>40861</v>
      </c>
      <c r="G561" s="10">
        <f t="shared" ca="1" si="8"/>
        <v>14.063013698630137</v>
      </c>
    </row>
    <row r="562" spans="1:7" x14ac:dyDescent="0.35">
      <c r="A562" s="8">
        <v>410</v>
      </c>
      <c r="B562" s="8" t="s">
        <v>1437</v>
      </c>
      <c r="C562" s="8" t="s">
        <v>1438</v>
      </c>
      <c r="D562" s="8" t="s">
        <v>913</v>
      </c>
      <c r="E562" s="8" t="s">
        <v>1439</v>
      </c>
      <c r="F562" s="9">
        <v>39316</v>
      </c>
      <c r="G562" s="10">
        <f t="shared" ca="1" si="8"/>
        <v>18.295890410958904</v>
      </c>
    </row>
    <row r="563" spans="1:7" x14ac:dyDescent="0.35">
      <c r="A563" s="8">
        <v>501726</v>
      </c>
      <c r="B563" s="8" t="s">
        <v>1440</v>
      </c>
      <c r="C563" s="8" t="s">
        <v>1441</v>
      </c>
      <c r="D563" s="8" t="s">
        <v>913</v>
      </c>
      <c r="E563" s="8" t="s">
        <v>1442</v>
      </c>
      <c r="F563" s="9">
        <v>45246</v>
      </c>
      <c r="G563" s="10">
        <f t="shared" ca="1" si="8"/>
        <v>2.0493150684931507</v>
      </c>
    </row>
    <row r="564" spans="1:7" x14ac:dyDescent="0.35">
      <c r="A564" s="8">
        <v>501432</v>
      </c>
      <c r="B564" s="8" t="s">
        <v>1443</v>
      </c>
      <c r="C564" s="8" t="s">
        <v>1444</v>
      </c>
      <c r="D564" s="8" t="s">
        <v>913</v>
      </c>
      <c r="E564" s="8" t="s">
        <v>1445</v>
      </c>
      <c r="F564" s="9">
        <v>44760</v>
      </c>
      <c r="G564" s="10">
        <f t="shared" ca="1" si="8"/>
        <v>3.3808219178082193</v>
      </c>
    </row>
    <row r="565" spans="1:7" x14ac:dyDescent="0.35">
      <c r="A565" s="8">
        <v>1779</v>
      </c>
      <c r="B565" s="8" t="s">
        <v>1446</v>
      </c>
      <c r="C565" s="8" t="s">
        <v>1447</v>
      </c>
      <c r="D565" s="8" t="s">
        <v>913</v>
      </c>
      <c r="E565" s="8" t="s">
        <v>1448</v>
      </c>
      <c r="F565" s="9">
        <v>42828</v>
      </c>
      <c r="G565" s="10">
        <f t="shared" ca="1" si="8"/>
        <v>8.6739726027397257</v>
      </c>
    </row>
    <row r="566" spans="1:7" x14ac:dyDescent="0.35">
      <c r="A566" s="8">
        <v>100731</v>
      </c>
      <c r="B566" s="8" t="s">
        <v>1449</v>
      </c>
      <c r="C566" s="8" t="s">
        <v>1450</v>
      </c>
      <c r="D566" s="8" t="s">
        <v>913</v>
      </c>
      <c r="E566" s="8" t="s">
        <v>1451</v>
      </c>
      <c r="F566" s="9">
        <v>41169</v>
      </c>
      <c r="G566" s="10">
        <f t="shared" ca="1" si="8"/>
        <v>13.219178082191782</v>
      </c>
    </row>
    <row r="567" spans="1:7" x14ac:dyDescent="0.35">
      <c r="A567" s="8">
        <v>502286</v>
      </c>
      <c r="B567" s="8" t="s">
        <v>1452</v>
      </c>
      <c r="C567" s="8" t="s">
        <v>1441</v>
      </c>
      <c r="D567" s="8" t="s">
        <v>913</v>
      </c>
      <c r="E567" s="8" t="s">
        <v>1453</v>
      </c>
      <c r="F567" s="9">
        <v>45859</v>
      </c>
      <c r="G567" s="10">
        <f t="shared" ca="1" si="8"/>
        <v>0.36986301369863012</v>
      </c>
    </row>
    <row r="568" spans="1:7" x14ac:dyDescent="0.35">
      <c r="A568" s="8">
        <v>502106</v>
      </c>
      <c r="B568" s="8" t="s">
        <v>1454</v>
      </c>
      <c r="C568" s="8" t="s">
        <v>1455</v>
      </c>
      <c r="D568" s="8" t="s">
        <v>913</v>
      </c>
      <c r="E568" s="8" t="s">
        <v>1456</v>
      </c>
      <c r="F568" s="9">
        <v>45692</v>
      </c>
      <c r="G568" s="10">
        <f t="shared" ca="1" si="8"/>
        <v>0.82739726027397265</v>
      </c>
    </row>
    <row r="569" spans="1:7" x14ac:dyDescent="0.35">
      <c r="A569" s="8">
        <v>500352</v>
      </c>
      <c r="B569" s="8" t="s">
        <v>1457</v>
      </c>
      <c r="C569" s="8" t="s">
        <v>1438</v>
      </c>
      <c r="D569" s="8" t="s">
        <v>913</v>
      </c>
      <c r="E569" s="8" t="s">
        <v>1458</v>
      </c>
      <c r="F569" s="9">
        <v>43116</v>
      </c>
      <c r="G569" s="10">
        <f t="shared" ca="1" si="8"/>
        <v>7.8849315068493153</v>
      </c>
    </row>
    <row r="570" spans="1:7" x14ac:dyDescent="0.35">
      <c r="A570" s="8">
        <v>101120</v>
      </c>
      <c r="B570" s="8" t="s">
        <v>1459</v>
      </c>
      <c r="C570" s="8" t="s">
        <v>1460</v>
      </c>
      <c r="D570" s="8" t="s">
        <v>913</v>
      </c>
      <c r="E570" s="8" t="s">
        <v>1461</v>
      </c>
      <c r="F570" s="9">
        <v>41821</v>
      </c>
      <c r="G570" s="10">
        <f t="shared" ca="1" si="8"/>
        <v>11.432876712328767</v>
      </c>
    </row>
    <row r="571" spans="1:7" x14ac:dyDescent="0.35">
      <c r="A571" s="8">
        <v>100926</v>
      </c>
      <c r="B571" s="8" t="s">
        <v>1462</v>
      </c>
      <c r="C571" s="8" t="s">
        <v>1460</v>
      </c>
      <c r="D571" s="8" t="s">
        <v>913</v>
      </c>
      <c r="E571" s="8" t="s">
        <v>1463</v>
      </c>
      <c r="F571" s="9">
        <v>41487</v>
      </c>
      <c r="G571" s="10">
        <f t="shared" ca="1" si="8"/>
        <v>12.347945205479451</v>
      </c>
    </row>
    <row r="572" spans="1:7" x14ac:dyDescent="0.35">
      <c r="A572" s="8">
        <v>155</v>
      </c>
      <c r="B572" s="8" t="s">
        <v>1464</v>
      </c>
      <c r="C572" s="8" t="s">
        <v>1465</v>
      </c>
      <c r="D572" s="8" t="s">
        <v>913</v>
      </c>
      <c r="E572" s="8" t="s">
        <v>1466</v>
      </c>
      <c r="F572" s="9">
        <v>38474</v>
      </c>
      <c r="G572" s="10">
        <f t="shared" ca="1" si="8"/>
        <v>20.602739726027398</v>
      </c>
    </row>
    <row r="573" spans="1:7" x14ac:dyDescent="0.35">
      <c r="A573" s="8">
        <v>501626</v>
      </c>
      <c r="B573" s="8" t="s">
        <v>1467</v>
      </c>
      <c r="C573" s="8" t="s">
        <v>1460</v>
      </c>
      <c r="D573" s="8" t="s">
        <v>913</v>
      </c>
      <c r="E573" s="8" t="s">
        <v>1468</v>
      </c>
      <c r="F573" s="9">
        <v>45796</v>
      </c>
      <c r="G573" s="10">
        <f t="shared" ca="1" si="8"/>
        <v>0.54246575342465753</v>
      </c>
    </row>
    <row r="574" spans="1:7" x14ac:dyDescent="0.35">
      <c r="A574" s="8">
        <v>100969</v>
      </c>
      <c r="B574" s="8" t="s">
        <v>1469</v>
      </c>
      <c r="C574" s="8" t="s">
        <v>1470</v>
      </c>
      <c r="D574" s="8" t="s">
        <v>913</v>
      </c>
      <c r="E574" s="8" t="s">
        <v>1471</v>
      </c>
      <c r="F574" s="9">
        <v>41570</v>
      </c>
      <c r="G574" s="10">
        <f t="shared" ca="1" si="8"/>
        <v>12.12054794520548</v>
      </c>
    </row>
    <row r="575" spans="1:7" x14ac:dyDescent="0.35">
      <c r="A575" s="8">
        <v>501924</v>
      </c>
      <c r="B575" s="8" t="s">
        <v>1472</v>
      </c>
      <c r="C575" s="8" t="s">
        <v>1473</v>
      </c>
      <c r="D575" s="8" t="s">
        <v>913</v>
      </c>
      <c r="E575" s="8" t="s">
        <v>1474</v>
      </c>
      <c r="F575" s="9">
        <v>45509</v>
      </c>
      <c r="G575" s="10">
        <f t="shared" ca="1" si="8"/>
        <v>1.3287671232876712</v>
      </c>
    </row>
    <row r="576" spans="1:7" x14ac:dyDescent="0.35">
      <c r="A576" s="8">
        <v>501918</v>
      </c>
      <c r="B576" s="8" t="s">
        <v>1475</v>
      </c>
      <c r="C576" s="8" t="s">
        <v>1465</v>
      </c>
      <c r="D576" s="8" t="s">
        <v>913</v>
      </c>
      <c r="E576" s="8" t="s">
        <v>1476</v>
      </c>
      <c r="F576" s="9">
        <v>45495</v>
      </c>
      <c r="G576" s="10">
        <f t="shared" ca="1" si="8"/>
        <v>1.3671232876712329</v>
      </c>
    </row>
    <row r="577" spans="1:7" x14ac:dyDescent="0.35">
      <c r="A577" s="8">
        <v>501690</v>
      </c>
      <c r="B577" s="8" t="s">
        <v>1477</v>
      </c>
      <c r="C577" s="8" t="s">
        <v>1460</v>
      </c>
      <c r="D577" s="8" t="s">
        <v>913</v>
      </c>
      <c r="E577" s="8" t="s">
        <v>1478</v>
      </c>
      <c r="F577" s="9">
        <v>45201</v>
      </c>
      <c r="G577" s="10">
        <f t="shared" ca="1" si="8"/>
        <v>2.1726027397260275</v>
      </c>
    </row>
    <row r="578" spans="1:7" x14ac:dyDescent="0.35">
      <c r="A578" s="8">
        <v>502329</v>
      </c>
      <c r="B578" s="8" t="s">
        <v>1479</v>
      </c>
      <c r="C578" s="8" t="s">
        <v>1460</v>
      </c>
      <c r="D578" s="8" t="s">
        <v>913</v>
      </c>
      <c r="E578" s="8" t="s">
        <v>1480</v>
      </c>
      <c r="F578" s="9">
        <v>45887</v>
      </c>
      <c r="G578" s="10">
        <f t="shared" ca="1" si="8"/>
        <v>0.29315068493150687</v>
      </c>
    </row>
    <row r="579" spans="1:7" x14ac:dyDescent="0.35">
      <c r="A579" s="8">
        <v>501367</v>
      </c>
      <c r="B579" s="8" t="s">
        <v>1481</v>
      </c>
      <c r="C579" s="8" t="s">
        <v>1482</v>
      </c>
      <c r="D579" s="8" t="s">
        <v>1483</v>
      </c>
      <c r="E579" s="8" t="s">
        <v>1484</v>
      </c>
      <c r="F579" s="9">
        <v>44683</v>
      </c>
      <c r="G579" s="10">
        <f t="shared" ca="1" si="8"/>
        <v>3.591780821917808</v>
      </c>
    </row>
    <row r="580" spans="1:7" x14ac:dyDescent="0.35">
      <c r="A580" s="8">
        <v>100695</v>
      </c>
      <c r="B580" s="8" t="s">
        <v>1485</v>
      </c>
      <c r="C580" s="8" t="s">
        <v>76</v>
      </c>
      <c r="D580" s="8" t="s">
        <v>1483</v>
      </c>
      <c r="E580" s="8" t="s">
        <v>1486</v>
      </c>
      <c r="F580" s="9">
        <v>41071</v>
      </c>
      <c r="G580" s="10">
        <f t="shared" ca="1" si="8"/>
        <v>13.487671232876712</v>
      </c>
    </row>
    <row r="581" spans="1:7" x14ac:dyDescent="0.35">
      <c r="A581" s="8">
        <v>501893</v>
      </c>
      <c r="B581" s="8" t="s">
        <v>1487</v>
      </c>
      <c r="C581" s="8" t="s">
        <v>1488</v>
      </c>
      <c r="D581" s="8" t="s">
        <v>1483</v>
      </c>
      <c r="E581" s="8" t="s">
        <v>1489</v>
      </c>
      <c r="F581" s="9">
        <v>45474</v>
      </c>
      <c r="G581" s="10">
        <f t="shared" ref="G581:G644" ca="1" si="9">($G$1-F581)/365</f>
        <v>1.4246575342465753</v>
      </c>
    </row>
    <row r="582" spans="1:7" x14ac:dyDescent="0.35">
      <c r="A582" s="8">
        <v>501909</v>
      </c>
      <c r="B582" s="8" t="s">
        <v>1490</v>
      </c>
      <c r="C582" s="8" t="s">
        <v>1491</v>
      </c>
      <c r="D582" s="8" t="s">
        <v>1483</v>
      </c>
      <c r="E582" s="8" t="s">
        <v>1492</v>
      </c>
      <c r="F582" s="9">
        <v>45489</v>
      </c>
      <c r="G582" s="10">
        <f t="shared" ca="1" si="9"/>
        <v>1.3835616438356164</v>
      </c>
    </row>
    <row r="583" spans="1:7" x14ac:dyDescent="0.35">
      <c r="A583" s="8">
        <v>501980</v>
      </c>
      <c r="B583" s="8" t="s">
        <v>1493</v>
      </c>
      <c r="C583" s="8" t="s">
        <v>1494</v>
      </c>
      <c r="D583" s="8" t="s">
        <v>1483</v>
      </c>
      <c r="E583" s="8" t="s">
        <v>14</v>
      </c>
      <c r="F583" s="9">
        <v>45552</v>
      </c>
      <c r="G583" s="10">
        <f t="shared" ca="1" si="9"/>
        <v>1.210958904109589</v>
      </c>
    </row>
    <row r="584" spans="1:7" x14ac:dyDescent="0.35">
      <c r="A584" s="8">
        <v>502013</v>
      </c>
      <c r="B584" s="8" t="s">
        <v>1495</v>
      </c>
      <c r="C584" s="8" t="s">
        <v>1494</v>
      </c>
      <c r="D584" s="8" t="s">
        <v>1483</v>
      </c>
      <c r="E584" s="8" t="s">
        <v>14</v>
      </c>
      <c r="F584" s="9">
        <v>45581</v>
      </c>
      <c r="G584" s="10">
        <f t="shared" ca="1" si="9"/>
        <v>1.1315068493150684</v>
      </c>
    </row>
    <row r="585" spans="1:7" x14ac:dyDescent="0.35">
      <c r="A585" s="8">
        <v>501379</v>
      </c>
      <c r="B585" s="8" t="s">
        <v>1496</v>
      </c>
      <c r="C585" s="8" t="s">
        <v>1497</v>
      </c>
      <c r="D585" s="8" t="s">
        <v>1483</v>
      </c>
      <c r="E585" s="8" t="s">
        <v>1498</v>
      </c>
      <c r="F585" s="9">
        <v>44683</v>
      </c>
      <c r="G585" s="10">
        <f t="shared" ca="1" si="9"/>
        <v>3.591780821917808</v>
      </c>
    </row>
    <row r="586" spans="1:7" x14ac:dyDescent="0.35">
      <c r="A586" s="8">
        <v>502076</v>
      </c>
      <c r="B586" s="8" t="s">
        <v>1499</v>
      </c>
      <c r="C586" s="8" t="s">
        <v>119</v>
      </c>
      <c r="D586" s="8" t="s">
        <v>1483</v>
      </c>
      <c r="E586" s="8" t="s">
        <v>1500</v>
      </c>
      <c r="F586" s="9">
        <v>45642</v>
      </c>
      <c r="G586" s="10">
        <f t="shared" ca="1" si="9"/>
        <v>0.96438356164383565</v>
      </c>
    </row>
    <row r="587" spans="1:7" x14ac:dyDescent="0.35">
      <c r="A587" s="8">
        <v>502174</v>
      </c>
      <c r="B587" s="8" t="s">
        <v>1501</v>
      </c>
      <c r="C587" s="8" t="s">
        <v>1502</v>
      </c>
      <c r="D587" s="8" t="s">
        <v>1483</v>
      </c>
      <c r="E587" s="8" t="s">
        <v>1503</v>
      </c>
      <c r="F587" s="9">
        <v>45768</v>
      </c>
      <c r="G587" s="10">
        <f t="shared" ca="1" si="9"/>
        <v>0.61917808219178083</v>
      </c>
    </row>
    <row r="588" spans="1:7" x14ac:dyDescent="0.35">
      <c r="A588" s="8">
        <v>502231</v>
      </c>
      <c r="B588" s="8" t="s">
        <v>1504</v>
      </c>
      <c r="C588" s="8" t="s">
        <v>1505</v>
      </c>
      <c r="D588" s="8" t="s">
        <v>1483</v>
      </c>
      <c r="E588" s="8" t="s">
        <v>1506</v>
      </c>
      <c r="F588" s="9">
        <v>45810</v>
      </c>
      <c r="G588" s="10">
        <f t="shared" ca="1" si="9"/>
        <v>0.50410958904109593</v>
      </c>
    </row>
    <row r="589" spans="1:7" x14ac:dyDescent="0.35">
      <c r="A589" s="5">
        <v>502476</v>
      </c>
      <c r="B589" s="5" t="s">
        <v>1507</v>
      </c>
      <c r="C589" s="5" t="s">
        <v>1508</v>
      </c>
      <c r="D589" s="5" t="s">
        <v>1483</v>
      </c>
      <c r="E589" s="5" t="s">
        <v>1509</v>
      </c>
      <c r="F589" s="6">
        <v>45908</v>
      </c>
      <c r="G589" s="7">
        <f t="shared" ca="1" si="9"/>
        <v>0.23561643835616439</v>
      </c>
    </row>
    <row r="590" spans="1:7" x14ac:dyDescent="0.35">
      <c r="A590" s="8">
        <v>502028</v>
      </c>
      <c r="B590" s="8" t="s">
        <v>1510</v>
      </c>
      <c r="C590" s="8" t="s">
        <v>1511</v>
      </c>
      <c r="D590" s="8" t="s">
        <v>1483</v>
      </c>
      <c r="E590" s="8" t="s">
        <v>1512</v>
      </c>
      <c r="F590" s="9">
        <v>45600</v>
      </c>
      <c r="G590" s="10">
        <f t="shared" ca="1" si="9"/>
        <v>1.0794520547945206</v>
      </c>
    </row>
    <row r="591" spans="1:7" x14ac:dyDescent="0.35">
      <c r="A591" s="8">
        <v>902</v>
      </c>
      <c r="B591" s="8" t="s">
        <v>1513</v>
      </c>
      <c r="C591" s="8" t="s">
        <v>1514</v>
      </c>
      <c r="D591" s="8" t="s">
        <v>1483</v>
      </c>
      <c r="E591" s="8" t="s">
        <v>1515</v>
      </c>
      <c r="F591" s="9">
        <v>39615</v>
      </c>
      <c r="G591" s="10">
        <f t="shared" ca="1" si="9"/>
        <v>17.476712328767125</v>
      </c>
    </row>
    <row r="592" spans="1:7" x14ac:dyDescent="0.35">
      <c r="A592" s="8">
        <v>101318</v>
      </c>
      <c r="B592" s="8" t="s">
        <v>1516</v>
      </c>
      <c r="C592" s="8" t="s">
        <v>1508</v>
      </c>
      <c r="D592" s="8" t="s">
        <v>1483</v>
      </c>
      <c r="E592" s="8" t="s">
        <v>1517</v>
      </c>
      <c r="F592" s="9">
        <v>42110</v>
      </c>
      <c r="G592" s="10">
        <f t="shared" ca="1" si="9"/>
        <v>10.641095890410959</v>
      </c>
    </row>
    <row r="593" spans="1:7" x14ac:dyDescent="0.35">
      <c r="A593" s="8">
        <v>501880</v>
      </c>
      <c r="B593" s="8" t="s">
        <v>1518</v>
      </c>
      <c r="C593" s="8" t="s">
        <v>1519</v>
      </c>
      <c r="D593" s="8" t="s">
        <v>1483</v>
      </c>
      <c r="E593" s="8" t="s">
        <v>1520</v>
      </c>
      <c r="F593" s="9">
        <v>45460</v>
      </c>
      <c r="G593" s="10">
        <f t="shared" ca="1" si="9"/>
        <v>1.463013698630137</v>
      </c>
    </row>
    <row r="594" spans="1:7" x14ac:dyDescent="0.35">
      <c r="A594" s="8">
        <v>501971</v>
      </c>
      <c r="B594" s="8" t="s">
        <v>1521</v>
      </c>
      <c r="C594" s="8" t="s">
        <v>1522</v>
      </c>
      <c r="D594" s="8" t="s">
        <v>1483</v>
      </c>
      <c r="E594" s="8" t="s">
        <v>1523</v>
      </c>
      <c r="F594" s="9">
        <v>45544</v>
      </c>
      <c r="G594" s="10">
        <f t="shared" ca="1" si="9"/>
        <v>1.2328767123287672</v>
      </c>
    </row>
    <row r="595" spans="1:7" x14ac:dyDescent="0.35">
      <c r="A595" s="8">
        <v>502172</v>
      </c>
      <c r="B595" s="8" t="s">
        <v>1524</v>
      </c>
      <c r="C595" s="8" t="s">
        <v>1525</v>
      </c>
      <c r="D595" s="8" t="s">
        <v>1483</v>
      </c>
      <c r="E595" s="8" t="s">
        <v>1526</v>
      </c>
      <c r="F595" s="9">
        <v>45768</v>
      </c>
      <c r="G595" s="10">
        <f t="shared" ca="1" si="9"/>
        <v>0.61917808219178083</v>
      </c>
    </row>
    <row r="596" spans="1:7" x14ac:dyDescent="0.35">
      <c r="A596" s="8">
        <v>543</v>
      </c>
      <c r="B596" s="8" t="s">
        <v>1527</v>
      </c>
      <c r="C596" s="8" t="s">
        <v>1528</v>
      </c>
      <c r="D596" s="8" t="s">
        <v>1483</v>
      </c>
      <c r="E596" s="8" t="s">
        <v>1529</v>
      </c>
      <c r="F596" s="9">
        <v>39517</v>
      </c>
      <c r="G596" s="10">
        <f t="shared" ca="1" si="9"/>
        <v>17.745205479452054</v>
      </c>
    </row>
    <row r="597" spans="1:7" x14ac:dyDescent="0.35">
      <c r="A597" s="8">
        <v>1909</v>
      </c>
      <c r="B597" s="8" t="s">
        <v>1530</v>
      </c>
      <c r="C597" s="8" t="s">
        <v>1531</v>
      </c>
      <c r="D597" s="8" t="s">
        <v>1483</v>
      </c>
      <c r="E597" s="8" t="s">
        <v>1532</v>
      </c>
      <c r="F597" s="9">
        <v>42982</v>
      </c>
      <c r="G597" s="10">
        <f t="shared" ca="1" si="9"/>
        <v>8.2520547945205482</v>
      </c>
    </row>
    <row r="598" spans="1:7" x14ac:dyDescent="0.35">
      <c r="A598" s="8">
        <v>502194</v>
      </c>
      <c r="B598" s="8" t="s">
        <v>1533</v>
      </c>
      <c r="C598" s="8" t="s">
        <v>1534</v>
      </c>
      <c r="D598" s="8" t="s">
        <v>1483</v>
      </c>
      <c r="E598" s="8" t="s">
        <v>1535</v>
      </c>
      <c r="F598" s="9">
        <v>45782</v>
      </c>
      <c r="G598" s="10">
        <f t="shared" ca="1" si="9"/>
        <v>0.58082191780821912</v>
      </c>
    </row>
    <row r="599" spans="1:7" x14ac:dyDescent="0.35">
      <c r="A599" s="8">
        <v>1845</v>
      </c>
      <c r="B599" s="8" t="s">
        <v>1536</v>
      </c>
      <c r="C599" s="8" t="s">
        <v>1537</v>
      </c>
      <c r="D599" s="8" t="s">
        <v>1483</v>
      </c>
      <c r="E599" s="8" t="s">
        <v>1538</v>
      </c>
      <c r="F599" s="9">
        <v>42905</v>
      </c>
      <c r="G599" s="10">
        <f t="shared" ca="1" si="9"/>
        <v>8.463013698630137</v>
      </c>
    </row>
    <row r="600" spans="1:7" x14ac:dyDescent="0.35">
      <c r="A600" s="8">
        <v>501378</v>
      </c>
      <c r="B600" s="8" t="s">
        <v>1539</v>
      </c>
      <c r="C600" s="8" t="s">
        <v>1540</v>
      </c>
      <c r="D600" s="8" t="s">
        <v>1483</v>
      </c>
      <c r="E600" s="8" t="s">
        <v>1541</v>
      </c>
      <c r="F600" s="9">
        <v>44683</v>
      </c>
      <c r="G600" s="10">
        <f t="shared" ca="1" si="9"/>
        <v>3.591780821917808</v>
      </c>
    </row>
    <row r="601" spans="1:7" x14ac:dyDescent="0.35">
      <c r="A601" s="8">
        <v>501898</v>
      </c>
      <c r="B601" s="8" t="s">
        <v>1542</v>
      </c>
      <c r="C601" s="8" t="s">
        <v>1543</v>
      </c>
      <c r="D601" s="8" t="s">
        <v>1483</v>
      </c>
      <c r="E601" s="8" t="s">
        <v>1544</v>
      </c>
      <c r="F601" s="9">
        <v>45474</v>
      </c>
      <c r="G601" s="10">
        <f t="shared" ca="1" si="9"/>
        <v>1.4246575342465753</v>
      </c>
    </row>
    <row r="602" spans="1:7" x14ac:dyDescent="0.35">
      <c r="A602" s="8">
        <v>501375</v>
      </c>
      <c r="B602" s="8" t="s">
        <v>1545</v>
      </c>
      <c r="C602" s="8" t="s">
        <v>1546</v>
      </c>
      <c r="D602" s="8" t="s">
        <v>1483</v>
      </c>
      <c r="E602" s="8" t="s">
        <v>1547</v>
      </c>
      <c r="F602" s="9">
        <v>44683</v>
      </c>
      <c r="G602" s="10">
        <f t="shared" ca="1" si="9"/>
        <v>3.591780821917808</v>
      </c>
    </row>
    <row r="603" spans="1:7" x14ac:dyDescent="0.35">
      <c r="A603" s="8">
        <v>501941</v>
      </c>
      <c r="B603" s="8" t="s">
        <v>1548</v>
      </c>
      <c r="C603" s="8" t="s">
        <v>1549</v>
      </c>
      <c r="D603" s="8" t="s">
        <v>1483</v>
      </c>
      <c r="E603" s="8" t="s">
        <v>1550</v>
      </c>
      <c r="F603" s="9">
        <v>45530</v>
      </c>
      <c r="G603" s="10">
        <f t="shared" ca="1" si="9"/>
        <v>1.2712328767123289</v>
      </c>
    </row>
    <row r="604" spans="1:7" x14ac:dyDescent="0.35">
      <c r="A604" s="8">
        <v>101293</v>
      </c>
      <c r="B604" s="8" t="s">
        <v>1551</v>
      </c>
      <c r="C604" s="8" t="s">
        <v>1552</v>
      </c>
      <c r="D604" s="8" t="s">
        <v>1483</v>
      </c>
      <c r="E604" s="8" t="s">
        <v>1553</v>
      </c>
      <c r="F604" s="9">
        <v>42080</v>
      </c>
      <c r="G604" s="10">
        <f t="shared" ca="1" si="9"/>
        <v>10.723287671232876</v>
      </c>
    </row>
    <row r="605" spans="1:7" x14ac:dyDescent="0.35">
      <c r="A605" s="8">
        <v>501500</v>
      </c>
      <c r="B605" s="8" t="s">
        <v>1554</v>
      </c>
      <c r="C605" s="8" t="s">
        <v>1555</v>
      </c>
      <c r="D605" s="8" t="s">
        <v>1483</v>
      </c>
      <c r="E605" s="8" t="s">
        <v>1556</v>
      </c>
      <c r="F605" s="9">
        <v>44868</v>
      </c>
      <c r="G605" s="10">
        <f t="shared" ca="1" si="9"/>
        <v>3.0849315068493151</v>
      </c>
    </row>
    <row r="606" spans="1:7" x14ac:dyDescent="0.35">
      <c r="A606" s="8">
        <v>502042</v>
      </c>
      <c r="B606" s="8" t="s">
        <v>1557</v>
      </c>
      <c r="C606" s="8" t="s">
        <v>1552</v>
      </c>
      <c r="D606" s="8" t="s">
        <v>1483</v>
      </c>
      <c r="E606" s="8" t="s">
        <v>1558</v>
      </c>
      <c r="F606" s="9">
        <v>45615</v>
      </c>
      <c r="G606" s="10">
        <f t="shared" ca="1" si="9"/>
        <v>1.0383561643835617</v>
      </c>
    </row>
    <row r="607" spans="1:7" x14ac:dyDescent="0.35">
      <c r="A607" s="8">
        <v>501797</v>
      </c>
      <c r="B607" s="8" t="s">
        <v>1559</v>
      </c>
      <c r="C607" s="8" t="s">
        <v>1502</v>
      </c>
      <c r="D607" s="8" t="s">
        <v>1483</v>
      </c>
      <c r="E607" s="8" t="s">
        <v>1560</v>
      </c>
      <c r="F607" s="9">
        <v>45362</v>
      </c>
      <c r="G607" s="10">
        <f t="shared" ca="1" si="9"/>
        <v>1.7315068493150685</v>
      </c>
    </row>
    <row r="608" spans="1:7" x14ac:dyDescent="0.35">
      <c r="A608" s="8">
        <v>502035</v>
      </c>
      <c r="B608" s="8" t="s">
        <v>1561</v>
      </c>
      <c r="C608" s="8" t="s">
        <v>1562</v>
      </c>
      <c r="D608" s="8" t="s">
        <v>1483</v>
      </c>
      <c r="E608" s="8" t="s">
        <v>1563</v>
      </c>
      <c r="F608" s="9">
        <v>45600</v>
      </c>
      <c r="G608" s="10">
        <f t="shared" ca="1" si="9"/>
        <v>1.0794520547945206</v>
      </c>
    </row>
    <row r="609" spans="1:7" x14ac:dyDescent="0.35">
      <c r="A609" s="8">
        <v>501325</v>
      </c>
      <c r="B609" s="8" t="s">
        <v>1564</v>
      </c>
      <c r="C609" s="8" t="s">
        <v>1519</v>
      </c>
      <c r="D609" s="8" t="s">
        <v>1483</v>
      </c>
      <c r="E609" s="8" t="s">
        <v>1565</v>
      </c>
      <c r="F609" s="9">
        <v>44636</v>
      </c>
      <c r="G609" s="10">
        <f t="shared" ca="1" si="9"/>
        <v>3.7205479452054795</v>
      </c>
    </row>
    <row r="610" spans="1:7" x14ac:dyDescent="0.35">
      <c r="A610" s="8">
        <v>501613</v>
      </c>
      <c r="B610" s="8" t="s">
        <v>1566</v>
      </c>
      <c r="C610" s="8" t="s">
        <v>1567</v>
      </c>
      <c r="D610" s="8" t="s">
        <v>1483</v>
      </c>
      <c r="E610" s="8" t="s">
        <v>1568</v>
      </c>
      <c r="F610" s="9">
        <v>45078</v>
      </c>
      <c r="G610" s="10">
        <f t="shared" ca="1" si="9"/>
        <v>2.5095890410958903</v>
      </c>
    </row>
    <row r="611" spans="1:7" x14ac:dyDescent="0.35">
      <c r="A611" s="8">
        <v>502124</v>
      </c>
      <c r="B611" s="8" t="s">
        <v>1569</v>
      </c>
      <c r="C611" s="8" t="s">
        <v>1570</v>
      </c>
      <c r="D611" s="8" t="s">
        <v>1483</v>
      </c>
      <c r="E611" s="8" t="s">
        <v>1571</v>
      </c>
      <c r="F611" s="9">
        <v>45719</v>
      </c>
      <c r="G611" s="10">
        <f t="shared" ca="1" si="9"/>
        <v>0.75342465753424659</v>
      </c>
    </row>
    <row r="612" spans="1:7" x14ac:dyDescent="0.35">
      <c r="A612" s="8">
        <v>100230</v>
      </c>
      <c r="B612" s="8" t="s">
        <v>1572</v>
      </c>
      <c r="C612" s="8" t="s">
        <v>1573</v>
      </c>
      <c r="D612" s="8" t="s">
        <v>1483</v>
      </c>
      <c r="E612" s="8" t="s">
        <v>1574</v>
      </c>
      <c r="F612" s="9">
        <v>40148</v>
      </c>
      <c r="G612" s="10">
        <f t="shared" ca="1" si="9"/>
        <v>16.016438356164382</v>
      </c>
    </row>
    <row r="613" spans="1:7" x14ac:dyDescent="0.35">
      <c r="A613" s="8">
        <v>100220</v>
      </c>
      <c r="B613" s="8" t="s">
        <v>1575</v>
      </c>
      <c r="C613" s="8" t="s">
        <v>1576</v>
      </c>
      <c r="D613" s="8" t="s">
        <v>1483</v>
      </c>
      <c r="E613" s="8" t="s">
        <v>1577</v>
      </c>
      <c r="F613" s="9">
        <v>40134</v>
      </c>
      <c r="G613" s="10">
        <f t="shared" ca="1" si="9"/>
        <v>16.054794520547944</v>
      </c>
    </row>
    <row r="614" spans="1:7" x14ac:dyDescent="0.35">
      <c r="A614" s="8">
        <v>501863</v>
      </c>
      <c r="B614" s="8" t="s">
        <v>1578</v>
      </c>
      <c r="C614" s="8" t="s">
        <v>1579</v>
      </c>
      <c r="D614" s="8" t="s">
        <v>1483</v>
      </c>
      <c r="E614" s="8" t="s">
        <v>1580</v>
      </c>
      <c r="F614" s="9">
        <v>45446</v>
      </c>
      <c r="G614" s="10">
        <f t="shared" ca="1" si="9"/>
        <v>1.5013698630136987</v>
      </c>
    </row>
    <row r="615" spans="1:7" x14ac:dyDescent="0.35">
      <c r="A615" s="8">
        <v>501916</v>
      </c>
      <c r="B615" s="8" t="s">
        <v>1581</v>
      </c>
      <c r="C615" s="8" t="s">
        <v>1579</v>
      </c>
      <c r="D615" s="8" t="s">
        <v>1483</v>
      </c>
      <c r="E615" s="8" t="s">
        <v>1582</v>
      </c>
      <c r="F615" s="9">
        <v>45495</v>
      </c>
      <c r="G615" s="10">
        <f t="shared" ca="1" si="9"/>
        <v>1.3671232876712329</v>
      </c>
    </row>
    <row r="616" spans="1:7" x14ac:dyDescent="0.35">
      <c r="A616" s="8">
        <v>502249</v>
      </c>
      <c r="B616" s="8" t="s">
        <v>1583</v>
      </c>
      <c r="C616" s="8" t="s">
        <v>1584</v>
      </c>
      <c r="D616" s="8" t="s">
        <v>1483</v>
      </c>
      <c r="E616" s="8" t="s">
        <v>1585</v>
      </c>
      <c r="F616" s="9">
        <v>45824</v>
      </c>
      <c r="G616" s="10">
        <f t="shared" ca="1" si="9"/>
        <v>0.46575342465753422</v>
      </c>
    </row>
    <row r="617" spans="1:7" x14ac:dyDescent="0.35">
      <c r="A617" s="8">
        <v>502303</v>
      </c>
      <c r="B617" s="8" t="s">
        <v>1586</v>
      </c>
      <c r="C617" s="8" t="s">
        <v>1587</v>
      </c>
      <c r="D617" s="8" t="s">
        <v>1483</v>
      </c>
      <c r="E617" s="8" t="s">
        <v>1588</v>
      </c>
      <c r="F617" s="9">
        <v>45873</v>
      </c>
      <c r="G617" s="10">
        <f t="shared" ca="1" si="9"/>
        <v>0.33150684931506852</v>
      </c>
    </row>
    <row r="618" spans="1:7" x14ac:dyDescent="0.35">
      <c r="A618" s="8">
        <v>502377</v>
      </c>
      <c r="B618" s="8" t="s">
        <v>1589</v>
      </c>
      <c r="C618" s="8" t="s">
        <v>1590</v>
      </c>
      <c r="D618" s="8" t="s">
        <v>1483</v>
      </c>
      <c r="E618" s="8" t="s">
        <v>1591</v>
      </c>
      <c r="F618" s="9">
        <v>45901</v>
      </c>
      <c r="G618" s="10">
        <f t="shared" ca="1" si="9"/>
        <v>0.25479452054794521</v>
      </c>
    </row>
    <row r="619" spans="1:7" x14ac:dyDescent="0.35">
      <c r="A619" s="5">
        <v>502520</v>
      </c>
      <c r="B619" s="5" t="s">
        <v>1592</v>
      </c>
      <c r="C619" s="5" t="s">
        <v>1593</v>
      </c>
      <c r="D619" s="5" t="s">
        <v>1483</v>
      </c>
      <c r="E619" s="5" t="s">
        <v>1594</v>
      </c>
      <c r="F619" s="6">
        <v>45950</v>
      </c>
      <c r="G619" s="7">
        <f t="shared" ca="1" si="9"/>
        <v>0.12054794520547946</v>
      </c>
    </row>
    <row r="620" spans="1:7" x14ac:dyDescent="0.35">
      <c r="A620" s="8">
        <v>502050</v>
      </c>
      <c r="B620" s="8" t="s">
        <v>1595</v>
      </c>
      <c r="C620" s="8" t="s">
        <v>1596</v>
      </c>
      <c r="D620" s="8" t="s">
        <v>1483</v>
      </c>
      <c r="E620" s="8" t="s">
        <v>1597</v>
      </c>
      <c r="F620" s="9">
        <v>45615</v>
      </c>
      <c r="G620" s="10">
        <f t="shared" ca="1" si="9"/>
        <v>1.0383561643835617</v>
      </c>
    </row>
    <row r="621" spans="1:7" x14ac:dyDescent="0.35">
      <c r="A621" s="8">
        <v>502346</v>
      </c>
      <c r="B621" s="8" t="s">
        <v>1598</v>
      </c>
      <c r="C621" s="8" t="s">
        <v>1599</v>
      </c>
      <c r="D621" s="8" t="s">
        <v>1483</v>
      </c>
      <c r="E621" s="8" t="s">
        <v>1600</v>
      </c>
      <c r="F621" s="9">
        <v>45887</v>
      </c>
      <c r="G621" s="10">
        <f t="shared" ca="1" si="9"/>
        <v>0.29315068493150687</v>
      </c>
    </row>
    <row r="622" spans="1:7" x14ac:dyDescent="0.35">
      <c r="A622" s="8">
        <v>501886</v>
      </c>
      <c r="B622" s="8" t="s">
        <v>1601</v>
      </c>
      <c r="C622" s="8" t="s">
        <v>1602</v>
      </c>
      <c r="D622" s="8" t="s">
        <v>1483</v>
      </c>
      <c r="E622" s="8" t="s">
        <v>1603</v>
      </c>
      <c r="F622" s="9">
        <v>45474</v>
      </c>
      <c r="G622" s="10">
        <f t="shared" ca="1" si="9"/>
        <v>1.4246575342465753</v>
      </c>
    </row>
    <row r="623" spans="1:7" x14ac:dyDescent="0.35">
      <c r="A623" s="5">
        <v>502500</v>
      </c>
      <c r="B623" s="5" t="s">
        <v>1604</v>
      </c>
      <c r="C623" s="5" t="s">
        <v>1605</v>
      </c>
      <c r="D623" s="5" t="s">
        <v>1483</v>
      </c>
      <c r="E623" s="5" t="s">
        <v>1606</v>
      </c>
      <c r="F623" s="6">
        <v>45929</v>
      </c>
      <c r="G623" s="7">
        <f t="shared" ca="1" si="9"/>
        <v>0.17808219178082191</v>
      </c>
    </row>
    <row r="624" spans="1:7" x14ac:dyDescent="0.35">
      <c r="A624" s="8">
        <v>501950</v>
      </c>
      <c r="B624" s="8" t="s">
        <v>1607</v>
      </c>
      <c r="C624" s="8" t="s">
        <v>1608</v>
      </c>
      <c r="D624" s="8" t="s">
        <v>1483</v>
      </c>
      <c r="E624" s="8" t="s">
        <v>1609</v>
      </c>
      <c r="F624" s="9">
        <v>45537</v>
      </c>
      <c r="G624" s="10">
        <f t="shared" ca="1" si="9"/>
        <v>1.252054794520548</v>
      </c>
    </row>
    <row r="625" spans="1:7" x14ac:dyDescent="0.35">
      <c r="A625" s="8">
        <v>502193</v>
      </c>
      <c r="B625" s="8" t="s">
        <v>1610</v>
      </c>
      <c r="C625" s="8" t="s">
        <v>1611</v>
      </c>
      <c r="D625" s="8" t="s">
        <v>1483</v>
      </c>
      <c r="E625" s="8" t="s">
        <v>1612</v>
      </c>
      <c r="F625" s="9">
        <v>45782</v>
      </c>
      <c r="G625" s="10">
        <f t="shared" ca="1" si="9"/>
        <v>0.58082191780821912</v>
      </c>
    </row>
    <row r="626" spans="1:7" x14ac:dyDescent="0.35">
      <c r="A626" s="8">
        <v>502071</v>
      </c>
      <c r="B626" s="8" t="s">
        <v>1613</v>
      </c>
      <c r="C626" s="8" t="s">
        <v>1605</v>
      </c>
      <c r="D626" s="8" t="s">
        <v>1483</v>
      </c>
      <c r="E626" s="8" t="s">
        <v>1614</v>
      </c>
      <c r="F626" s="9">
        <v>45642</v>
      </c>
      <c r="G626" s="10">
        <f t="shared" ca="1" si="9"/>
        <v>0.96438356164383565</v>
      </c>
    </row>
    <row r="627" spans="1:7" x14ac:dyDescent="0.35">
      <c r="A627" s="8">
        <v>502390</v>
      </c>
      <c r="B627" s="8" t="s">
        <v>1615</v>
      </c>
      <c r="C627" s="8" t="s">
        <v>1616</v>
      </c>
      <c r="D627" s="8" t="s">
        <v>1617</v>
      </c>
      <c r="E627" s="8" t="s">
        <v>1618</v>
      </c>
      <c r="F627" s="9">
        <v>41183</v>
      </c>
      <c r="G627" s="10">
        <f t="shared" ca="1" si="9"/>
        <v>13.180821917808219</v>
      </c>
    </row>
    <row r="628" spans="1:7" x14ac:dyDescent="0.35">
      <c r="A628" s="8">
        <v>502403</v>
      </c>
      <c r="B628" s="8" t="s">
        <v>1619</v>
      </c>
      <c r="C628" s="8" t="s">
        <v>1413</v>
      </c>
      <c r="D628" s="8" t="s">
        <v>1617</v>
      </c>
      <c r="E628" s="8" t="s">
        <v>1620</v>
      </c>
      <c r="F628" s="9">
        <v>39790</v>
      </c>
      <c r="G628" s="10">
        <f t="shared" ca="1" si="9"/>
        <v>16.997260273972604</v>
      </c>
    </row>
    <row r="629" spans="1:7" x14ac:dyDescent="0.35">
      <c r="A629" s="8">
        <v>502360</v>
      </c>
      <c r="B629" s="8" t="s">
        <v>1621</v>
      </c>
      <c r="C629" s="8" t="s">
        <v>1622</v>
      </c>
      <c r="D629" s="8" t="s">
        <v>1617</v>
      </c>
      <c r="E629" s="8" t="s">
        <v>1623</v>
      </c>
      <c r="F629" s="9">
        <v>43640</v>
      </c>
      <c r="G629" s="10">
        <f t="shared" ca="1" si="9"/>
        <v>6.4493150684931511</v>
      </c>
    </row>
    <row r="630" spans="1:7" x14ac:dyDescent="0.35">
      <c r="A630" s="8">
        <v>502405</v>
      </c>
      <c r="B630" s="8" t="s">
        <v>1624</v>
      </c>
      <c r="C630" s="8" t="s">
        <v>1625</v>
      </c>
      <c r="D630" s="8" t="s">
        <v>1617</v>
      </c>
      <c r="E630" s="8" t="s">
        <v>1626</v>
      </c>
      <c r="F630" s="9">
        <v>45705</v>
      </c>
      <c r="G630" s="10">
        <f t="shared" ca="1" si="9"/>
        <v>0.79178082191780819</v>
      </c>
    </row>
    <row r="631" spans="1:7" x14ac:dyDescent="0.35">
      <c r="A631" s="8">
        <v>502443</v>
      </c>
      <c r="B631" s="8" t="s">
        <v>1627</v>
      </c>
      <c r="C631" s="8" t="s">
        <v>1628</v>
      </c>
      <c r="D631" s="8" t="s">
        <v>1617</v>
      </c>
      <c r="E631" s="8" t="s">
        <v>1629</v>
      </c>
      <c r="F631" s="9">
        <v>39776</v>
      </c>
      <c r="G631" s="10">
        <f t="shared" ca="1" si="9"/>
        <v>17.035616438356165</v>
      </c>
    </row>
    <row r="632" spans="1:7" x14ac:dyDescent="0.35">
      <c r="A632" s="8">
        <v>502404</v>
      </c>
      <c r="B632" s="8" t="s">
        <v>1630</v>
      </c>
      <c r="C632" s="8" t="s">
        <v>1625</v>
      </c>
      <c r="D632" s="8" t="s">
        <v>1617</v>
      </c>
      <c r="E632" s="8" t="s">
        <v>1631</v>
      </c>
      <c r="F632" s="9">
        <v>43584</v>
      </c>
      <c r="G632" s="10">
        <f t="shared" ca="1" si="9"/>
        <v>6.602739726027397</v>
      </c>
    </row>
    <row r="633" spans="1:7" x14ac:dyDescent="0.35">
      <c r="A633" s="8">
        <v>502353</v>
      </c>
      <c r="B633" s="8" t="s">
        <v>1632</v>
      </c>
      <c r="C633" s="8" t="s">
        <v>1625</v>
      </c>
      <c r="D633" s="8" t="s">
        <v>1617</v>
      </c>
      <c r="E633" s="8" t="s">
        <v>1633</v>
      </c>
      <c r="F633" s="9">
        <v>43591</v>
      </c>
      <c r="G633" s="10">
        <f t="shared" ca="1" si="9"/>
        <v>6.5835616438356164</v>
      </c>
    </row>
    <row r="634" spans="1:7" x14ac:dyDescent="0.35">
      <c r="A634" s="8">
        <v>502391</v>
      </c>
      <c r="B634" s="8" t="s">
        <v>1634</v>
      </c>
      <c r="C634" s="8" t="s">
        <v>1635</v>
      </c>
      <c r="D634" s="8" t="s">
        <v>1617</v>
      </c>
      <c r="E634" s="8" t="s">
        <v>1636</v>
      </c>
      <c r="F634" s="9">
        <v>41760</v>
      </c>
      <c r="G634" s="10">
        <f t="shared" ca="1" si="9"/>
        <v>11.6</v>
      </c>
    </row>
    <row r="635" spans="1:7" x14ac:dyDescent="0.35">
      <c r="A635" s="8">
        <v>502454</v>
      </c>
      <c r="B635" s="8" t="s">
        <v>1637</v>
      </c>
      <c r="C635" s="8" t="s">
        <v>1638</v>
      </c>
      <c r="D635" s="8" t="s">
        <v>1617</v>
      </c>
      <c r="E635" s="8" t="s">
        <v>1639</v>
      </c>
      <c r="F635" s="9">
        <v>40756</v>
      </c>
      <c r="G635" s="10">
        <f t="shared" ca="1" si="9"/>
        <v>14.35068493150685</v>
      </c>
    </row>
    <row r="636" spans="1:7" x14ac:dyDescent="0.35">
      <c r="A636" s="8">
        <v>502398</v>
      </c>
      <c r="B636" s="8" t="s">
        <v>1640</v>
      </c>
      <c r="C636" s="8" t="s">
        <v>1638</v>
      </c>
      <c r="D636" s="8" t="s">
        <v>1617</v>
      </c>
      <c r="E636" s="8" t="s">
        <v>1641</v>
      </c>
      <c r="F636" s="9">
        <v>41368</v>
      </c>
      <c r="G636" s="10">
        <f t="shared" ca="1" si="9"/>
        <v>12.673972602739726</v>
      </c>
    </row>
    <row r="637" spans="1:7" x14ac:dyDescent="0.35">
      <c r="A637" s="8">
        <v>502415</v>
      </c>
      <c r="B637" s="8" t="s">
        <v>1642</v>
      </c>
      <c r="C637" s="8" t="s">
        <v>1638</v>
      </c>
      <c r="D637" s="8" t="s">
        <v>1617</v>
      </c>
      <c r="E637" s="8" t="s">
        <v>1643</v>
      </c>
      <c r="F637" s="9">
        <v>41534</v>
      </c>
      <c r="G637" s="10">
        <f t="shared" ca="1" si="9"/>
        <v>12.219178082191782</v>
      </c>
    </row>
    <row r="638" spans="1:7" x14ac:dyDescent="0.35">
      <c r="A638" s="8">
        <v>502392</v>
      </c>
      <c r="B638" s="8" t="s">
        <v>1644</v>
      </c>
      <c r="C638" s="8" t="s">
        <v>1645</v>
      </c>
      <c r="D638" s="8" t="s">
        <v>1617</v>
      </c>
      <c r="E638" s="8" t="s">
        <v>1646</v>
      </c>
      <c r="F638" s="9">
        <v>41244</v>
      </c>
      <c r="G638" s="10">
        <f t="shared" ca="1" si="9"/>
        <v>13.013698630136986</v>
      </c>
    </row>
    <row r="639" spans="1:7" x14ac:dyDescent="0.35">
      <c r="A639" s="8">
        <v>502356</v>
      </c>
      <c r="B639" s="8" t="s">
        <v>1647</v>
      </c>
      <c r="C639" s="8" t="s">
        <v>1648</v>
      </c>
      <c r="D639" s="8" t="s">
        <v>1617</v>
      </c>
      <c r="E639" s="8" t="s">
        <v>1649</v>
      </c>
      <c r="F639" s="9">
        <v>40490</v>
      </c>
      <c r="G639" s="10">
        <f t="shared" ca="1" si="9"/>
        <v>15.079452054794521</v>
      </c>
    </row>
    <row r="640" spans="1:7" x14ac:dyDescent="0.35">
      <c r="A640" s="8">
        <v>502428</v>
      </c>
      <c r="B640" s="8" t="s">
        <v>1650</v>
      </c>
      <c r="C640" s="8" t="s">
        <v>1651</v>
      </c>
      <c r="D640" s="8" t="s">
        <v>1617</v>
      </c>
      <c r="E640" s="8" t="s">
        <v>1652</v>
      </c>
      <c r="F640" s="9">
        <v>43466</v>
      </c>
      <c r="G640" s="10">
        <f t="shared" ca="1" si="9"/>
        <v>6.9260273972602739</v>
      </c>
    </row>
    <row r="641" spans="1:7" x14ac:dyDescent="0.35">
      <c r="A641" s="8">
        <v>502359</v>
      </c>
      <c r="B641" s="8" t="s">
        <v>1653</v>
      </c>
      <c r="C641" s="8" t="s">
        <v>1651</v>
      </c>
      <c r="D641" s="8" t="s">
        <v>1617</v>
      </c>
      <c r="E641" s="8" t="s">
        <v>1654</v>
      </c>
      <c r="F641" s="9">
        <v>41426</v>
      </c>
      <c r="G641" s="10">
        <f t="shared" ca="1" si="9"/>
        <v>12.515068493150684</v>
      </c>
    </row>
    <row r="642" spans="1:7" x14ac:dyDescent="0.35">
      <c r="A642" s="8">
        <v>502407</v>
      </c>
      <c r="B642" s="8" t="s">
        <v>1655</v>
      </c>
      <c r="C642" s="8" t="s">
        <v>1656</v>
      </c>
      <c r="D642" s="8" t="s">
        <v>1617</v>
      </c>
      <c r="E642" s="8" t="s">
        <v>1657</v>
      </c>
      <c r="F642" s="9">
        <v>39776</v>
      </c>
      <c r="G642" s="10">
        <f t="shared" ca="1" si="9"/>
        <v>17.035616438356165</v>
      </c>
    </row>
    <row r="643" spans="1:7" x14ac:dyDescent="0.35">
      <c r="A643" s="5">
        <v>502525</v>
      </c>
      <c r="B643" s="5" t="s">
        <v>1658</v>
      </c>
      <c r="C643" s="5" t="s">
        <v>1659</v>
      </c>
      <c r="D643" s="5" t="s">
        <v>1617</v>
      </c>
      <c r="E643" s="5" t="s">
        <v>1660</v>
      </c>
      <c r="F643" s="6">
        <v>45950</v>
      </c>
      <c r="G643" s="7">
        <f t="shared" ca="1" si="9"/>
        <v>0.12054794520547946</v>
      </c>
    </row>
    <row r="644" spans="1:7" x14ac:dyDescent="0.35">
      <c r="A644" s="8">
        <v>502464</v>
      </c>
      <c r="B644" s="8" t="s">
        <v>1661</v>
      </c>
      <c r="C644" s="8" t="s">
        <v>1662</v>
      </c>
      <c r="D644" s="8" t="s">
        <v>1617</v>
      </c>
      <c r="E644" s="8" t="s">
        <v>1663</v>
      </c>
      <c r="F644" s="9">
        <v>40225</v>
      </c>
      <c r="G644" s="10">
        <f t="shared" ca="1" si="9"/>
        <v>15.805479452054794</v>
      </c>
    </row>
    <row r="645" spans="1:7" x14ac:dyDescent="0.35">
      <c r="A645" s="8">
        <v>502411</v>
      </c>
      <c r="B645" s="8" t="s">
        <v>1664</v>
      </c>
      <c r="C645" s="8" t="s">
        <v>1659</v>
      </c>
      <c r="D645" s="8" t="s">
        <v>1617</v>
      </c>
      <c r="E645" s="8" t="s">
        <v>1665</v>
      </c>
      <c r="F645" s="9">
        <v>41289</v>
      </c>
      <c r="G645" s="10">
        <f t="shared" ref="G645:G708" ca="1" si="10">($G$1-F645)/365</f>
        <v>12.890410958904109</v>
      </c>
    </row>
    <row r="646" spans="1:7" x14ac:dyDescent="0.35">
      <c r="A646" s="8">
        <v>502472</v>
      </c>
      <c r="B646" s="8" t="s">
        <v>1666</v>
      </c>
      <c r="C646" s="8" t="s">
        <v>1659</v>
      </c>
      <c r="D646" s="8" t="s">
        <v>1617</v>
      </c>
      <c r="E646" s="8" t="s">
        <v>1667</v>
      </c>
      <c r="F646" s="9">
        <v>42220</v>
      </c>
      <c r="G646" s="10">
        <f t="shared" ca="1" si="10"/>
        <v>10.33972602739726</v>
      </c>
    </row>
    <row r="647" spans="1:7" x14ac:dyDescent="0.35">
      <c r="A647" s="8">
        <v>502367</v>
      </c>
      <c r="B647" s="8" t="s">
        <v>1668</v>
      </c>
      <c r="C647" s="8" t="s">
        <v>1659</v>
      </c>
      <c r="D647" s="8" t="s">
        <v>1617</v>
      </c>
      <c r="E647" s="8" t="s">
        <v>1669</v>
      </c>
      <c r="F647" s="9">
        <v>44550</v>
      </c>
      <c r="G647" s="10">
        <f t="shared" ca="1" si="10"/>
        <v>3.956164383561644</v>
      </c>
    </row>
    <row r="648" spans="1:7" x14ac:dyDescent="0.35">
      <c r="A648" s="8">
        <v>502410</v>
      </c>
      <c r="B648" s="8" t="s">
        <v>1670</v>
      </c>
      <c r="C648" s="8" t="s">
        <v>1659</v>
      </c>
      <c r="D648" s="8" t="s">
        <v>1617</v>
      </c>
      <c r="E648" s="8" t="s">
        <v>1671</v>
      </c>
      <c r="F648" s="9">
        <v>44690</v>
      </c>
      <c r="G648" s="10">
        <f t="shared" ca="1" si="10"/>
        <v>3.5726027397260274</v>
      </c>
    </row>
    <row r="649" spans="1:7" x14ac:dyDescent="0.35">
      <c r="A649" s="8">
        <v>502365</v>
      </c>
      <c r="B649" s="8" t="s">
        <v>1672</v>
      </c>
      <c r="C649" s="8" t="s">
        <v>1659</v>
      </c>
      <c r="D649" s="8" t="s">
        <v>1617</v>
      </c>
      <c r="E649" s="8" t="s">
        <v>1673</v>
      </c>
      <c r="F649" s="9">
        <v>44788</v>
      </c>
      <c r="G649" s="10">
        <f t="shared" ca="1" si="10"/>
        <v>3.3041095890410959</v>
      </c>
    </row>
    <row r="650" spans="1:7" x14ac:dyDescent="0.35">
      <c r="A650" s="8">
        <v>502420</v>
      </c>
      <c r="B650" s="8" t="s">
        <v>1674</v>
      </c>
      <c r="C650" s="8" t="s">
        <v>1659</v>
      </c>
      <c r="D650" s="8" t="s">
        <v>1617</v>
      </c>
      <c r="E650" s="8" t="s">
        <v>1675</v>
      </c>
      <c r="F650" s="9">
        <v>45120</v>
      </c>
      <c r="G650" s="10">
        <f t="shared" ca="1" si="10"/>
        <v>2.3945205479452056</v>
      </c>
    </row>
    <row r="651" spans="1:7" x14ac:dyDescent="0.35">
      <c r="A651" s="8">
        <v>101600</v>
      </c>
      <c r="B651" s="8" t="s">
        <v>1676</v>
      </c>
      <c r="C651" s="8" t="s">
        <v>1677</v>
      </c>
      <c r="D651" s="8" t="s">
        <v>1617</v>
      </c>
      <c r="E651" s="8" t="s">
        <v>1678</v>
      </c>
      <c r="F651" s="9">
        <v>42493</v>
      </c>
      <c r="G651" s="10">
        <f t="shared" ca="1" si="10"/>
        <v>9.5917808219178085</v>
      </c>
    </row>
    <row r="652" spans="1:7" x14ac:dyDescent="0.35">
      <c r="A652" s="8">
        <v>101724</v>
      </c>
      <c r="B652" s="8" t="s">
        <v>1679</v>
      </c>
      <c r="C652" s="8" t="s">
        <v>76</v>
      </c>
      <c r="D652" s="8" t="s">
        <v>1617</v>
      </c>
      <c r="E652" s="8" t="s">
        <v>1680</v>
      </c>
      <c r="F652" s="9">
        <v>42660</v>
      </c>
      <c r="G652" s="10">
        <f t="shared" ca="1" si="10"/>
        <v>9.1342465753424662</v>
      </c>
    </row>
    <row r="653" spans="1:7" x14ac:dyDescent="0.35">
      <c r="A653" s="8">
        <v>101624</v>
      </c>
      <c r="B653" s="8" t="s">
        <v>1681</v>
      </c>
      <c r="C653" s="8" t="s">
        <v>1682</v>
      </c>
      <c r="D653" s="8" t="s">
        <v>1617</v>
      </c>
      <c r="E653" s="8" t="s">
        <v>1683</v>
      </c>
      <c r="F653" s="9">
        <v>42537</v>
      </c>
      <c r="G653" s="10">
        <f t="shared" ca="1" si="10"/>
        <v>9.4712328767123282</v>
      </c>
    </row>
    <row r="654" spans="1:7" x14ac:dyDescent="0.35">
      <c r="A654" s="8">
        <v>101670</v>
      </c>
      <c r="B654" s="8" t="s">
        <v>1684</v>
      </c>
      <c r="C654" s="8" t="s">
        <v>1685</v>
      </c>
      <c r="D654" s="8" t="s">
        <v>1617</v>
      </c>
      <c r="E654" s="8" t="s">
        <v>1686</v>
      </c>
      <c r="F654" s="9">
        <v>43160</v>
      </c>
      <c r="G654" s="10">
        <f t="shared" ca="1" si="10"/>
        <v>7.7643835616438359</v>
      </c>
    </row>
    <row r="655" spans="1:7" x14ac:dyDescent="0.35">
      <c r="A655" s="8">
        <v>501780</v>
      </c>
      <c r="B655" s="8" t="s">
        <v>1687</v>
      </c>
      <c r="C655" s="8" t="s">
        <v>1688</v>
      </c>
      <c r="D655" s="8" t="s">
        <v>1617</v>
      </c>
      <c r="E655" s="8" t="s">
        <v>1689</v>
      </c>
      <c r="F655" s="9">
        <v>45343</v>
      </c>
      <c r="G655" s="10">
        <f t="shared" ca="1" si="10"/>
        <v>1.7835616438356163</v>
      </c>
    </row>
    <row r="656" spans="1:7" x14ac:dyDescent="0.35">
      <c r="A656" s="8">
        <v>500539</v>
      </c>
      <c r="B656" s="8" t="s">
        <v>1690</v>
      </c>
      <c r="C656" s="8" t="s">
        <v>1691</v>
      </c>
      <c r="D656" s="8" t="s">
        <v>1617</v>
      </c>
      <c r="E656" s="8" t="s">
        <v>1692</v>
      </c>
      <c r="F656" s="9">
        <v>43374</v>
      </c>
      <c r="G656" s="10">
        <f t="shared" ca="1" si="10"/>
        <v>7.1780821917808222</v>
      </c>
    </row>
    <row r="657" spans="1:7" x14ac:dyDescent="0.35">
      <c r="A657" s="8">
        <v>501242</v>
      </c>
      <c r="B657" s="8" t="s">
        <v>1693</v>
      </c>
      <c r="C657" s="8" t="s">
        <v>1691</v>
      </c>
      <c r="D657" s="8" t="s">
        <v>1617</v>
      </c>
      <c r="E657" s="8" t="s">
        <v>1694</v>
      </c>
      <c r="F657" s="9">
        <v>44440</v>
      </c>
      <c r="G657" s="10">
        <f t="shared" ca="1" si="10"/>
        <v>4.2575342465753421</v>
      </c>
    </row>
    <row r="658" spans="1:7" x14ac:dyDescent="0.35">
      <c r="A658" s="8">
        <v>102</v>
      </c>
      <c r="B658" s="8" t="s">
        <v>1695</v>
      </c>
      <c r="C658" s="8" t="s">
        <v>1696</v>
      </c>
      <c r="D658" s="8" t="s">
        <v>1617</v>
      </c>
      <c r="E658" s="8" t="s">
        <v>1697</v>
      </c>
      <c r="F658" s="9">
        <v>36851</v>
      </c>
      <c r="G658" s="10">
        <f t="shared" ca="1" si="10"/>
        <v>25.049315068493151</v>
      </c>
    </row>
    <row r="659" spans="1:7" x14ac:dyDescent="0.35">
      <c r="A659" s="8">
        <v>100104</v>
      </c>
      <c r="B659" s="8" t="s">
        <v>1698</v>
      </c>
      <c r="C659" s="8" t="s">
        <v>1699</v>
      </c>
      <c r="D659" s="8" t="s">
        <v>1617</v>
      </c>
      <c r="E659" s="8" t="s">
        <v>1700</v>
      </c>
      <c r="F659" s="9">
        <v>39951</v>
      </c>
      <c r="G659" s="10">
        <f t="shared" ca="1" si="10"/>
        <v>16.556164383561644</v>
      </c>
    </row>
    <row r="660" spans="1:7" x14ac:dyDescent="0.35">
      <c r="A660" s="8">
        <v>101395</v>
      </c>
      <c r="B660" s="8" t="s">
        <v>1701</v>
      </c>
      <c r="C660" s="8" t="s">
        <v>1699</v>
      </c>
      <c r="D660" s="8" t="s">
        <v>1617</v>
      </c>
      <c r="E660" s="8" t="s">
        <v>1702</v>
      </c>
      <c r="F660" s="9">
        <v>42227</v>
      </c>
      <c r="G660" s="10">
        <f t="shared" ca="1" si="10"/>
        <v>10.32054794520548</v>
      </c>
    </row>
    <row r="661" spans="1:7" x14ac:dyDescent="0.35">
      <c r="A661" s="8">
        <v>502230</v>
      </c>
      <c r="B661" s="8" t="s">
        <v>1703</v>
      </c>
      <c r="C661" s="8" t="s">
        <v>1704</v>
      </c>
      <c r="D661" s="8" t="s">
        <v>1617</v>
      </c>
      <c r="E661" s="8" t="s">
        <v>1705</v>
      </c>
      <c r="F661" s="9">
        <v>45810</v>
      </c>
      <c r="G661" s="10">
        <f t="shared" ca="1" si="10"/>
        <v>0.50410958904109593</v>
      </c>
    </row>
    <row r="662" spans="1:7" x14ac:dyDescent="0.35">
      <c r="A662" s="8">
        <v>101025</v>
      </c>
      <c r="B662" s="8" t="s">
        <v>1706</v>
      </c>
      <c r="C662" s="8" t="s">
        <v>1699</v>
      </c>
      <c r="D662" s="8" t="s">
        <v>1617</v>
      </c>
      <c r="E662" s="8" t="s">
        <v>1707</v>
      </c>
      <c r="F662" s="9">
        <v>41687</v>
      </c>
      <c r="G662" s="10">
        <f t="shared" ca="1" si="10"/>
        <v>11.8</v>
      </c>
    </row>
    <row r="663" spans="1:7" x14ac:dyDescent="0.35">
      <c r="A663" s="8">
        <v>100147</v>
      </c>
      <c r="B663" s="8" t="s">
        <v>1708</v>
      </c>
      <c r="C663" s="8" t="s">
        <v>1709</v>
      </c>
      <c r="D663" s="8" t="s">
        <v>1617</v>
      </c>
      <c r="E663" s="8" t="s">
        <v>1710</v>
      </c>
      <c r="F663" s="9">
        <v>40010</v>
      </c>
      <c r="G663" s="10">
        <f t="shared" ca="1" si="10"/>
        <v>16.394520547945206</v>
      </c>
    </row>
    <row r="664" spans="1:7" x14ac:dyDescent="0.35">
      <c r="A664" s="8">
        <v>101329</v>
      </c>
      <c r="B664" s="8" t="s">
        <v>1711</v>
      </c>
      <c r="C664" s="8" t="s">
        <v>1704</v>
      </c>
      <c r="D664" s="8" t="s">
        <v>1617</v>
      </c>
      <c r="E664" s="8" t="s">
        <v>1712</v>
      </c>
      <c r="F664" s="9">
        <v>42128</v>
      </c>
      <c r="G664" s="10">
        <f t="shared" ca="1" si="10"/>
        <v>10.591780821917808</v>
      </c>
    </row>
    <row r="665" spans="1:7" x14ac:dyDescent="0.35">
      <c r="A665" s="8">
        <v>502357</v>
      </c>
      <c r="B665" s="8" t="s">
        <v>1713</v>
      </c>
      <c r="C665" s="8" t="s">
        <v>1714</v>
      </c>
      <c r="D665" s="8" t="s">
        <v>1617</v>
      </c>
      <c r="E665" s="8" t="s">
        <v>1715</v>
      </c>
      <c r="F665" s="9">
        <v>41197</v>
      </c>
      <c r="G665" s="10">
        <f t="shared" ca="1" si="10"/>
        <v>13.142465753424657</v>
      </c>
    </row>
    <row r="666" spans="1:7" x14ac:dyDescent="0.35">
      <c r="A666" s="8">
        <v>502417</v>
      </c>
      <c r="B666" s="8" t="s">
        <v>1716</v>
      </c>
      <c r="C666" s="8" t="s">
        <v>1659</v>
      </c>
      <c r="D666" s="8" t="s">
        <v>1617</v>
      </c>
      <c r="E666" s="8" t="s">
        <v>1717</v>
      </c>
      <c r="F666" s="9">
        <v>44964</v>
      </c>
      <c r="G666" s="10">
        <f t="shared" ca="1" si="10"/>
        <v>2.8219178082191783</v>
      </c>
    </row>
    <row r="667" spans="1:7" x14ac:dyDescent="0.35">
      <c r="A667" s="8">
        <v>502453</v>
      </c>
      <c r="B667" s="8" t="s">
        <v>1718</v>
      </c>
      <c r="C667" s="8" t="s">
        <v>1659</v>
      </c>
      <c r="D667" s="8" t="s">
        <v>1617</v>
      </c>
      <c r="E667" s="8" t="s">
        <v>1719</v>
      </c>
      <c r="F667" s="9">
        <v>45726</v>
      </c>
      <c r="G667" s="10">
        <f t="shared" ca="1" si="10"/>
        <v>0.73424657534246573</v>
      </c>
    </row>
    <row r="668" spans="1:7" x14ac:dyDescent="0.35">
      <c r="A668" s="8">
        <v>502419</v>
      </c>
      <c r="B668" s="8" t="s">
        <v>1720</v>
      </c>
      <c r="C668" s="8" t="s">
        <v>1721</v>
      </c>
      <c r="D668" s="8" t="s">
        <v>1617</v>
      </c>
      <c r="E668" s="8" t="s">
        <v>1722</v>
      </c>
      <c r="F668" s="9">
        <v>41760</v>
      </c>
      <c r="G668" s="10">
        <f t="shared" ca="1" si="10"/>
        <v>11.6</v>
      </c>
    </row>
    <row r="669" spans="1:7" x14ac:dyDescent="0.35">
      <c r="A669" s="8">
        <v>502452</v>
      </c>
      <c r="B669" s="8" t="s">
        <v>1723</v>
      </c>
      <c r="C669" s="8" t="s">
        <v>1659</v>
      </c>
      <c r="D669" s="8" t="s">
        <v>1617</v>
      </c>
      <c r="E669" s="8" t="s">
        <v>1724</v>
      </c>
      <c r="F669" s="9">
        <v>42072</v>
      </c>
      <c r="G669" s="10">
        <f t="shared" ca="1" si="10"/>
        <v>10.745205479452055</v>
      </c>
    </row>
    <row r="670" spans="1:7" x14ac:dyDescent="0.35">
      <c r="A670" s="8">
        <v>502429</v>
      </c>
      <c r="B670" s="8" t="s">
        <v>1725</v>
      </c>
      <c r="C670" s="8" t="s">
        <v>1659</v>
      </c>
      <c r="D670" s="8" t="s">
        <v>1617</v>
      </c>
      <c r="E670" s="8" t="s">
        <v>1726</v>
      </c>
      <c r="F670" s="9">
        <v>43507</v>
      </c>
      <c r="G670" s="10">
        <f t="shared" ca="1" si="10"/>
        <v>6.8136986301369866</v>
      </c>
    </row>
    <row r="671" spans="1:7" x14ac:dyDescent="0.35">
      <c r="A671" s="8">
        <v>502402</v>
      </c>
      <c r="B671" s="8" t="s">
        <v>1727</v>
      </c>
      <c r="C671" s="8" t="s">
        <v>1659</v>
      </c>
      <c r="D671" s="8" t="s">
        <v>1617</v>
      </c>
      <c r="E671" s="8" t="s">
        <v>1728</v>
      </c>
      <c r="F671" s="9">
        <v>45740</v>
      </c>
      <c r="G671" s="10">
        <f t="shared" ca="1" si="10"/>
        <v>0.69589041095890414</v>
      </c>
    </row>
    <row r="672" spans="1:7" x14ac:dyDescent="0.35">
      <c r="A672" s="8">
        <v>502358</v>
      </c>
      <c r="B672" s="8" t="s">
        <v>1729</v>
      </c>
      <c r="C672" s="8" t="s">
        <v>1730</v>
      </c>
      <c r="D672" s="8" t="s">
        <v>1617</v>
      </c>
      <c r="E672" s="8" t="s">
        <v>1731</v>
      </c>
      <c r="F672" s="9">
        <v>39776</v>
      </c>
      <c r="G672" s="10">
        <f t="shared" ca="1" si="10"/>
        <v>17.035616438356165</v>
      </c>
    </row>
    <row r="673" spans="1:7" x14ac:dyDescent="0.35">
      <c r="A673" s="8">
        <v>502400</v>
      </c>
      <c r="B673" s="8" t="s">
        <v>1732</v>
      </c>
      <c r="C673" s="8" t="s">
        <v>1733</v>
      </c>
      <c r="D673" s="8" t="s">
        <v>1617</v>
      </c>
      <c r="E673" s="8" t="s">
        <v>1734</v>
      </c>
      <c r="F673" s="9">
        <v>44998</v>
      </c>
      <c r="G673" s="10">
        <f t="shared" ca="1" si="10"/>
        <v>2.7287671232876711</v>
      </c>
    </row>
    <row r="674" spans="1:7" x14ac:dyDescent="0.35">
      <c r="A674" s="8">
        <v>502421</v>
      </c>
      <c r="B674" s="8" t="s">
        <v>1735</v>
      </c>
      <c r="C674" s="8" t="s">
        <v>1699</v>
      </c>
      <c r="D674" s="8" t="s">
        <v>1617</v>
      </c>
      <c r="E674" s="8" t="s">
        <v>1736</v>
      </c>
      <c r="F674" s="9">
        <v>43179</v>
      </c>
      <c r="G674" s="10">
        <f t="shared" ca="1" si="10"/>
        <v>7.7123287671232879</v>
      </c>
    </row>
    <row r="675" spans="1:7" x14ac:dyDescent="0.35">
      <c r="A675" s="8">
        <v>502425</v>
      </c>
      <c r="B675" s="8" t="s">
        <v>1737</v>
      </c>
      <c r="C675" s="8" t="s">
        <v>1699</v>
      </c>
      <c r="D675" s="8" t="s">
        <v>1617</v>
      </c>
      <c r="E675" s="8" t="s">
        <v>1738</v>
      </c>
      <c r="F675" s="9">
        <v>43696</v>
      </c>
      <c r="G675" s="10">
        <f t="shared" ca="1" si="10"/>
        <v>6.2958904109589042</v>
      </c>
    </row>
    <row r="676" spans="1:7" x14ac:dyDescent="0.35">
      <c r="A676" s="8">
        <v>502462</v>
      </c>
      <c r="B676" s="8" t="s">
        <v>1739</v>
      </c>
      <c r="C676" s="8" t="s">
        <v>1740</v>
      </c>
      <c r="D676" s="8" t="s">
        <v>1617</v>
      </c>
      <c r="E676" s="8" t="s">
        <v>1741</v>
      </c>
      <c r="F676" s="9">
        <v>41061</v>
      </c>
      <c r="G676" s="10">
        <f t="shared" ca="1" si="10"/>
        <v>13.515068493150684</v>
      </c>
    </row>
    <row r="677" spans="1:7" x14ac:dyDescent="0.35">
      <c r="A677" s="8">
        <v>502354</v>
      </c>
      <c r="B677" s="8" t="s">
        <v>1742</v>
      </c>
      <c r="C677" s="8" t="s">
        <v>1699</v>
      </c>
      <c r="D677" s="8" t="s">
        <v>1617</v>
      </c>
      <c r="E677" s="8" t="s">
        <v>1743</v>
      </c>
      <c r="F677" s="9">
        <v>41862</v>
      </c>
      <c r="G677" s="10">
        <f t="shared" ca="1" si="10"/>
        <v>11.32054794520548</v>
      </c>
    </row>
    <row r="678" spans="1:7" x14ac:dyDescent="0.35">
      <c r="A678" s="8">
        <v>101249</v>
      </c>
      <c r="B678" s="8" t="s">
        <v>1744</v>
      </c>
      <c r="C678" s="8" t="s">
        <v>1699</v>
      </c>
      <c r="D678" s="8" t="s">
        <v>1617</v>
      </c>
      <c r="E678" s="8" t="s">
        <v>1745</v>
      </c>
      <c r="F678" s="9">
        <v>42114</v>
      </c>
      <c r="G678" s="10">
        <f t="shared" ca="1" si="10"/>
        <v>10.63013698630137</v>
      </c>
    </row>
    <row r="679" spans="1:7" x14ac:dyDescent="0.35">
      <c r="A679" s="8">
        <v>502352</v>
      </c>
      <c r="B679" s="8" t="s">
        <v>1746</v>
      </c>
      <c r="C679" s="8" t="s">
        <v>1699</v>
      </c>
      <c r="D679" s="8" t="s">
        <v>1617</v>
      </c>
      <c r="E679" s="8" t="s">
        <v>1747</v>
      </c>
      <c r="F679" s="9">
        <v>44121</v>
      </c>
      <c r="G679" s="10">
        <f t="shared" ca="1" si="10"/>
        <v>5.1315068493150688</v>
      </c>
    </row>
    <row r="680" spans="1:7" x14ac:dyDescent="0.35">
      <c r="A680" s="8">
        <v>502459</v>
      </c>
      <c r="B680" s="8" t="s">
        <v>1748</v>
      </c>
      <c r="C680" s="8" t="s">
        <v>1704</v>
      </c>
      <c r="D680" s="8" t="s">
        <v>1617</v>
      </c>
      <c r="E680" s="8" t="s">
        <v>1749</v>
      </c>
      <c r="F680" s="9">
        <v>41641</v>
      </c>
      <c r="G680" s="10">
        <f t="shared" ca="1" si="10"/>
        <v>11.926027397260274</v>
      </c>
    </row>
    <row r="681" spans="1:7" x14ac:dyDescent="0.35">
      <c r="A681" s="8">
        <v>502451</v>
      </c>
      <c r="B681" s="8" t="s">
        <v>1750</v>
      </c>
      <c r="C681" s="8" t="s">
        <v>1699</v>
      </c>
      <c r="D681" s="8" t="s">
        <v>1617</v>
      </c>
      <c r="E681" s="8" t="s">
        <v>1751</v>
      </c>
      <c r="F681" s="9">
        <v>44179</v>
      </c>
      <c r="G681" s="10">
        <f t="shared" ca="1" si="10"/>
        <v>4.9726027397260273</v>
      </c>
    </row>
    <row r="682" spans="1:7" x14ac:dyDescent="0.35">
      <c r="A682" s="8">
        <v>502431</v>
      </c>
      <c r="B682" s="8" t="s">
        <v>1752</v>
      </c>
      <c r="C682" s="8" t="s">
        <v>1740</v>
      </c>
      <c r="D682" s="8" t="s">
        <v>1617</v>
      </c>
      <c r="E682" s="8" t="s">
        <v>1753</v>
      </c>
      <c r="F682" s="9">
        <v>41841</v>
      </c>
      <c r="G682" s="10">
        <f t="shared" ca="1" si="10"/>
        <v>11.378082191780821</v>
      </c>
    </row>
    <row r="683" spans="1:7" x14ac:dyDescent="0.35">
      <c r="A683" s="8">
        <v>502418</v>
      </c>
      <c r="B683" s="8" t="s">
        <v>1754</v>
      </c>
      <c r="C683" s="8" t="s">
        <v>1699</v>
      </c>
      <c r="D683" s="8" t="s">
        <v>1617</v>
      </c>
      <c r="E683" s="8" t="s">
        <v>1755</v>
      </c>
      <c r="F683" s="9">
        <v>40955</v>
      </c>
      <c r="G683" s="10">
        <f t="shared" ca="1" si="10"/>
        <v>13.805479452054794</v>
      </c>
    </row>
    <row r="684" spans="1:7" x14ac:dyDescent="0.35">
      <c r="A684" s="8">
        <v>502463</v>
      </c>
      <c r="B684" s="8" t="s">
        <v>1756</v>
      </c>
      <c r="C684" s="8" t="s">
        <v>1699</v>
      </c>
      <c r="D684" s="8" t="s">
        <v>1617</v>
      </c>
      <c r="E684" s="8" t="s">
        <v>1757</v>
      </c>
      <c r="F684" s="9">
        <v>42849</v>
      </c>
      <c r="G684" s="10">
        <f t="shared" ca="1" si="10"/>
        <v>8.6164383561643838</v>
      </c>
    </row>
    <row r="685" spans="1:7" x14ac:dyDescent="0.35">
      <c r="A685" s="8">
        <v>502355</v>
      </c>
      <c r="B685" s="8" t="s">
        <v>1758</v>
      </c>
      <c r="C685" s="8" t="s">
        <v>1699</v>
      </c>
      <c r="D685" s="8" t="s">
        <v>1617</v>
      </c>
      <c r="E685" s="8" t="s">
        <v>1759</v>
      </c>
      <c r="F685" s="9">
        <v>45370</v>
      </c>
      <c r="G685" s="10">
        <f t="shared" ca="1" si="10"/>
        <v>1.7095890410958905</v>
      </c>
    </row>
    <row r="686" spans="1:7" x14ac:dyDescent="0.35">
      <c r="A686" s="8">
        <v>502414</v>
      </c>
      <c r="B686" s="8" t="s">
        <v>1760</v>
      </c>
      <c r="C686" s="8" t="s">
        <v>1699</v>
      </c>
      <c r="D686" s="8" t="s">
        <v>1617</v>
      </c>
      <c r="E686" s="8" t="s">
        <v>1761</v>
      </c>
      <c r="F686" s="9">
        <v>45789</v>
      </c>
      <c r="G686" s="10">
        <f t="shared" ca="1" si="10"/>
        <v>0.56164383561643838</v>
      </c>
    </row>
    <row r="687" spans="1:7" x14ac:dyDescent="0.35">
      <c r="A687" s="8">
        <v>502430</v>
      </c>
      <c r="B687" s="8" t="s">
        <v>1762</v>
      </c>
      <c r="C687" s="8" t="s">
        <v>1699</v>
      </c>
      <c r="D687" s="8" t="s">
        <v>1617</v>
      </c>
      <c r="E687" s="8" t="s">
        <v>1763</v>
      </c>
      <c r="F687" s="9">
        <v>44613</v>
      </c>
      <c r="G687" s="10">
        <f t="shared" ca="1" si="10"/>
        <v>3.7835616438356166</v>
      </c>
    </row>
    <row r="688" spans="1:7" x14ac:dyDescent="0.35">
      <c r="A688" s="8">
        <v>502448</v>
      </c>
      <c r="B688" s="8" t="s">
        <v>1764</v>
      </c>
      <c r="C688" s="8" t="s">
        <v>1699</v>
      </c>
      <c r="D688" s="8" t="s">
        <v>1617</v>
      </c>
      <c r="E688" s="8" t="s">
        <v>1765</v>
      </c>
      <c r="F688" s="9">
        <v>43193</v>
      </c>
      <c r="G688" s="10">
        <f t="shared" ca="1" si="10"/>
        <v>7.6739726027397257</v>
      </c>
    </row>
    <row r="689" spans="1:7" x14ac:dyDescent="0.35">
      <c r="A689" s="8">
        <v>502362</v>
      </c>
      <c r="B689" s="8" t="s">
        <v>1766</v>
      </c>
      <c r="C689" s="8" t="s">
        <v>1767</v>
      </c>
      <c r="D689" s="8" t="s">
        <v>1617</v>
      </c>
      <c r="E689" s="8" t="s">
        <v>1768</v>
      </c>
      <c r="F689" s="9">
        <v>40441</v>
      </c>
      <c r="G689" s="10">
        <f t="shared" ca="1" si="10"/>
        <v>15.213698630136987</v>
      </c>
    </row>
    <row r="690" spans="1:7" x14ac:dyDescent="0.35">
      <c r="A690" s="8">
        <v>502401</v>
      </c>
      <c r="B690" s="8" t="s">
        <v>1769</v>
      </c>
      <c r="C690" s="8" t="s">
        <v>1704</v>
      </c>
      <c r="D690" s="8" t="s">
        <v>1617</v>
      </c>
      <c r="E690" s="8" t="s">
        <v>1770</v>
      </c>
      <c r="F690" s="9">
        <v>44676</v>
      </c>
      <c r="G690" s="10">
        <f t="shared" ca="1" si="10"/>
        <v>3.6109589041095891</v>
      </c>
    </row>
    <row r="691" spans="1:7" x14ac:dyDescent="0.35">
      <c r="A691" s="8">
        <v>502433</v>
      </c>
      <c r="B691" s="8" t="s">
        <v>1771</v>
      </c>
      <c r="C691" s="8" t="s">
        <v>1772</v>
      </c>
      <c r="D691" s="8" t="s">
        <v>1617</v>
      </c>
      <c r="E691" s="8" t="s">
        <v>1773</v>
      </c>
      <c r="F691" s="9">
        <v>42201</v>
      </c>
      <c r="G691" s="10">
        <f t="shared" ca="1" si="10"/>
        <v>10.391780821917807</v>
      </c>
    </row>
    <row r="692" spans="1:7" x14ac:dyDescent="0.35">
      <c r="A692" s="8">
        <v>502416</v>
      </c>
      <c r="B692" s="8" t="s">
        <v>1774</v>
      </c>
      <c r="C692" s="8" t="s">
        <v>1775</v>
      </c>
      <c r="D692" s="8" t="s">
        <v>1617</v>
      </c>
      <c r="E692" s="8" t="s">
        <v>1776</v>
      </c>
      <c r="F692" s="9">
        <v>42404</v>
      </c>
      <c r="G692" s="10">
        <f t="shared" ca="1" si="10"/>
        <v>9.8356164383561637</v>
      </c>
    </row>
    <row r="693" spans="1:7" x14ac:dyDescent="0.35">
      <c r="A693" s="8">
        <v>502438</v>
      </c>
      <c r="B693" s="8" t="s">
        <v>1777</v>
      </c>
      <c r="C693" s="8" t="s">
        <v>1775</v>
      </c>
      <c r="D693" s="8" t="s">
        <v>1617</v>
      </c>
      <c r="E693" s="8" t="s">
        <v>1778</v>
      </c>
      <c r="F693" s="9">
        <v>45537</v>
      </c>
      <c r="G693" s="10">
        <f t="shared" ca="1" si="10"/>
        <v>1.252054794520548</v>
      </c>
    </row>
    <row r="694" spans="1:7" x14ac:dyDescent="0.35">
      <c r="A694" s="8">
        <v>502457</v>
      </c>
      <c r="B694" s="8" t="s">
        <v>1779</v>
      </c>
      <c r="C694" s="8" t="s">
        <v>1775</v>
      </c>
      <c r="D694" s="8" t="s">
        <v>1617</v>
      </c>
      <c r="E694" s="8" t="s">
        <v>1780</v>
      </c>
      <c r="F694" s="9">
        <v>44501</v>
      </c>
      <c r="G694" s="10">
        <f t="shared" ca="1" si="10"/>
        <v>4.0904109589041093</v>
      </c>
    </row>
    <row r="695" spans="1:7" x14ac:dyDescent="0.35">
      <c r="A695" s="8">
        <v>502434</v>
      </c>
      <c r="B695" s="8" t="s">
        <v>1781</v>
      </c>
      <c r="C695" s="8" t="s">
        <v>1775</v>
      </c>
      <c r="D695" s="8" t="s">
        <v>1617</v>
      </c>
      <c r="E695" s="8" t="s">
        <v>1782</v>
      </c>
      <c r="F695" s="9">
        <v>44424</v>
      </c>
      <c r="G695" s="10">
        <f t="shared" ca="1" si="10"/>
        <v>4.3013698630136989</v>
      </c>
    </row>
    <row r="696" spans="1:7" x14ac:dyDescent="0.35">
      <c r="A696" s="8">
        <v>502444</v>
      </c>
      <c r="B696" s="8" t="s">
        <v>1783</v>
      </c>
      <c r="C696" s="8" t="s">
        <v>1775</v>
      </c>
      <c r="D696" s="8" t="s">
        <v>1617</v>
      </c>
      <c r="E696" s="8" t="s">
        <v>1784</v>
      </c>
      <c r="F696" s="9">
        <v>41760</v>
      </c>
      <c r="G696" s="10">
        <f t="shared" ca="1" si="10"/>
        <v>11.6</v>
      </c>
    </row>
    <row r="697" spans="1:7" x14ac:dyDescent="0.35">
      <c r="A697" s="8">
        <v>502413</v>
      </c>
      <c r="B697" s="8" t="s">
        <v>1785</v>
      </c>
      <c r="C697" s="8" t="s">
        <v>1775</v>
      </c>
      <c r="D697" s="8" t="s">
        <v>1617</v>
      </c>
      <c r="E697" s="8" t="s">
        <v>1786</v>
      </c>
      <c r="F697" s="9">
        <v>43516</v>
      </c>
      <c r="G697" s="10">
        <f t="shared" ca="1" si="10"/>
        <v>6.7890410958904113</v>
      </c>
    </row>
    <row r="698" spans="1:7" x14ac:dyDescent="0.35">
      <c r="A698" s="8">
        <v>502460</v>
      </c>
      <c r="B698" s="8" t="s">
        <v>1787</v>
      </c>
      <c r="C698" s="8" t="s">
        <v>1775</v>
      </c>
      <c r="D698" s="8" t="s">
        <v>1617</v>
      </c>
      <c r="E698" s="8" t="s">
        <v>1788</v>
      </c>
      <c r="F698" s="9">
        <v>40955</v>
      </c>
      <c r="G698" s="10">
        <f t="shared" ca="1" si="10"/>
        <v>13.805479452054794</v>
      </c>
    </row>
    <row r="699" spans="1:7" x14ac:dyDescent="0.35">
      <c r="A699" s="8">
        <v>502446</v>
      </c>
      <c r="B699" s="8" t="s">
        <v>1789</v>
      </c>
      <c r="C699" s="8" t="s">
        <v>1775</v>
      </c>
      <c r="D699" s="8" t="s">
        <v>1617</v>
      </c>
      <c r="E699" s="8" t="s">
        <v>1790</v>
      </c>
      <c r="F699" s="9">
        <v>43577</v>
      </c>
      <c r="G699" s="10">
        <f t="shared" ca="1" si="10"/>
        <v>6.6219178082191785</v>
      </c>
    </row>
    <row r="700" spans="1:7" x14ac:dyDescent="0.35">
      <c r="A700" s="8">
        <v>502408</v>
      </c>
      <c r="B700" s="8" t="s">
        <v>1791</v>
      </c>
      <c r="C700" s="8" t="s">
        <v>1775</v>
      </c>
      <c r="D700" s="8" t="s">
        <v>1617</v>
      </c>
      <c r="E700" s="8" t="s">
        <v>1792</v>
      </c>
      <c r="F700" s="9">
        <v>43241</v>
      </c>
      <c r="G700" s="10">
        <f t="shared" ca="1" si="10"/>
        <v>7.5424657534246577</v>
      </c>
    </row>
    <row r="701" spans="1:7" x14ac:dyDescent="0.35">
      <c r="A701" s="8">
        <v>502366</v>
      </c>
      <c r="B701" s="8" t="s">
        <v>1793</v>
      </c>
      <c r="C701" s="8" t="s">
        <v>1775</v>
      </c>
      <c r="D701" s="8" t="s">
        <v>1617</v>
      </c>
      <c r="E701" s="8" t="s">
        <v>1794</v>
      </c>
      <c r="F701" s="9">
        <v>43325</v>
      </c>
      <c r="G701" s="10">
        <f t="shared" ca="1" si="10"/>
        <v>7.3123287671232875</v>
      </c>
    </row>
    <row r="702" spans="1:7" x14ac:dyDescent="0.35">
      <c r="A702" s="8">
        <v>500427</v>
      </c>
      <c r="B702" s="8" t="s">
        <v>1795</v>
      </c>
      <c r="C702" s="8" t="s">
        <v>1775</v>
      </c>
      <c r="D702" s="8" t="s">
        <v>1617</v>
      </c>
      <c r="E702" s="8" t="s">
        <v>1796</v>
      </c>
      <c r="F702" s="9">
        <v>44116</v>
      </c>
      <c r="G702" s="10">
        <f t="shared" ca="1" si="10"/>
        <v>5.1452054794520548</v>
      </c>
    </row>
    <row r="703" spans="1:7" x14ac:dyDescent="0.35">
      <c r="A703" s="8">
        <v>502396</v>
      </c>
      <c r="B703" s="8" t="s">
        <v>1797</v>
      </c>
      <c r="C703" s="8" t="s">
        <v>1775</v>
      </c>
      <c r="D703" s="8" t="s">
        <v>1617</v>
      </c>
      <c r="E703" s="8" t="s">
        <v>1798</v>
      </c>
      <c r="F703" s="9">
        <v>44448</v>
      </c>
      <c r="G703" s="10">
        <f t="shared" ca="1" si="10"/>
        <v>4.2356164383561641</v>
      </c>
    </row>
    <row r="704" spans="1:7" x14ac:dyDescent="0.35">
      <c r="A704" s="8">
        <v>502450</v>
      </c>
      <c r="B704" s="8" t="s">
        <v>1799</v>
      </c>
      <c r="C704" s="8" t="s">
        <v>1775</v>
      </c>
      <c r="D704" s="8" t="s">
        <v>1617</v>
      </c>
      <c r="E704" s="8" t="s">
        <v>1800</v>
      </c>
      <c r="F704" s="9">
        <v>38930</v>
      </c>
      <c r="G704" s="10">
        <f t="shared" ca="1" si="10"/>
        <v>19.353424657534248</v>
      </c>
    </row>
    <row r="705" spans="1:7" x14ac:dyDescent="0.35">
      <c r="A705" s="8">
        <v>502422</v>
      </c>
      <c r="B705" s="8" t="s">
        <v>1801</v>
      </c>
      <c r="C705" s="8" t="s">
        <v>1775</v>
      </c>
      <c r="D705" s="8" t="s">
        <v>1617</v>
      </c>
      <c r="E705" s="8" t="s">
        <v>1802</v>
      </c>
      <c r="F705" s="9">
        <v>41964</v>
      </c>
      <c r="G705" s="10">
        <f t="shared" ca="1" si="10"/>
        <v>11.04109589041096</v>
      </c>
    </row>
    <row r="706" spans="1:7" x14ac:dyDescent="0.35">
      <c r="A706" s="8">
        <v>502449</v>
      </c>
      <c r="B706" s="8" t="s">
        <v>1803</v>
      </c>
      <c r="C706" s="8" t="s">
        <v>1804</v>
      </c>
      <c r="D706" s="8" t="s">
        <v>1617</v>
      </c>
      <c r="E706" s="8" t="s">
        <v>1805</v>
      </c>
      <c r="F706" s="9">
        <v>40731</v>
      </c>
      <c r="G706" s="10">
        <f t="shared" ca="1" si="10"/>
        <v>14.419178082191781</v>
      </c>
    </row>
    <row r="707" spans="1:7" x14ac:dyDescent="0.35">
      <c r="A707" s="8">
        <v>502432</v>
      </c>
      <c r="B707" s="8" t="s">
        <v>1806</v>
      </c>
      <c r="C707" s="8" t="s">
        <v>1807</v>
      </c>
      <c r="D707" s="8" t="s">
        <v>1617</v>
      </c>
      <c r="E707" s="8" t="s">
        <v>1808</v>
      </c>
      <c r="F707" s="9">
        <v>41760</v>
      </c>
      <c r="G707" s="10">
        <f t="shared" ca="1" si="10"/>
        <v>11.6</v>
      </c>
    </row>
    <row r="708" spans="1:7" x14ac:dyDescent="0.35">
      <c r="A708" s="8">
        <v>502439</v>
      </c>
      <c r="B708" s="8" t="s">
        <v>1809</v>
      </c>
      <c r="C708" s="8" t="s">
        <v>1807</v>
      </c>
      <c r="D708" s="8" t="s">
        <v>1617</v>
      </c>
      <c r="E708" s="8" t="s">
        <v>1810</v>
      </c>
      <c r="F708" s="9">
        <v>41760</v>
      </c>
      <c r="G708" s="10">
        <f t="shared" ca="1" si="10"/>
        <v>11.6</v>
      </c>
    </row>
    <row r="709" spans="1:7" x14ac:dyDescent="0.35">
      <c r="A709" s="8">
        <v>502437</v>
      </c>
      <c r="B709" s="8" t="s">
        <v>1811</v>
      </c>
      <c r="C709" s="8" t="s">
        <v>1807</v>
      </c>
      <c r="D709" s="8" t="s">
        <v>1617</v>
      </c>
      <c r="E709" s="8" t="s">
        <v>1812</v>
      </c>
      <c r="F709" s="9">
        <v>44121</v>
      </c>
      <c r="G709" s="10">
        <f t="shared" ref="G709:G772" ca="1" si="11">($G$1-F709)/365</f>
        <v>5.1315068493150688</v>
      </c>
    </row>
    <row r="710" spans="1:7" x14ac:dyDescent="0.35">
      <c r="A710" s="8">
        <v>502364</v>
      </c>
      <c r="B710" s="8" t="s">
        <v>1813</v>
      </c>
      <c r="C710" s="8" t="s">
        <v>1814</v>
      </c>
      <c r="D710" s="8" t="s">
        <v>1617</v>
      </c>
      <c r="E710" s="8" t="s">
        <v>1815</v>
      </c>
      <c r="F710" s="9">
        <v>43185</v>
      </c>
      <c r="G710" s="10">
        <f t="shared" ca="1" si="11"/>
        <v>7.6958904109589037</v>
      </c>
    </row>
    <row r="711" spans="1:7" x14ac:dyDescent="0.35">
      <c r="A711" s="8">
        <v>502363</v>
      </c>
      <c r="B711" s="8" t="s">
        <v>1816</v>
      </c>
      <c r="C711" s="8" t="s">
        <v>1814</v>
      </c>
      <c r="D711" s="8" t="s">
        <v>1617</v>
      </c>
      <c r="E711" s="8" t="s">
        <v>1817</v>
      </c>
      <c r="F711" s="9">
        <v>43626</v>
      </c>
      <c r="G711" s="10">
        <f t="shared" ca="1" si="11"/>
        <v>6.4876712328767123</v>
      </c>
    </row>
    <row r="712" spans="1:7" x14ac:dyDescent="0.35">
      <c r="A712" s="8">
        <v>502361</v>
      </c>
      <c r="B712" s="8" t="s">
        <v>1818</v>
      </c>
      <c r="C712" s="8" t="s">
        <v>1814</v>
      </c>
      <c r="D712" s="8" t="s">
        <v>1617</v>
      </c>
      <c r="E712" s="8" t="s">
        <v>1819</v>
      </c>
      <c r="F712" s="9">
        <v>44522</v>
      </c>
      <c r="G712" s="10">
        <f t="shared" ca="1" si="11"/>
        <v>4.0328767123287674</v>
      </c>
    </row>
    <row r="713" spans="1:7" x14ac:dyDescent="0.35">
      <c r="A713" s="8">
        <v>502458</v>
      </c>
      <c r="B713" s="8" t="s">
        <v>1820</v>
      </c>
      <c r="C713" s="8" t="s">
        <v>1814</v>
      </c>
      <c r="D713" s="8" t="s">
        <v>1617</v>
      </c>
      <c r="E713" s="8" t="s">
        <v>1821</v>
      </c>
      <c r="F713" s="9">
        <v>45006</v>
      </c>
      <c r="G713" s="10">
        <f t="shared" ca="1" si="11"/>
        <v>2.7068493150684931</v>
      </c>
    </row>
    <row r="714" spans="1:7" x14ac:dyDescent="0.35">
      <c r="A714" s="8">
        <v>502427</v>
      </c>
      <c r="B714" s="8" t="s">
        <v>1822</v>
      </c>
      <c r="C714" s="8" t="s">
        <v>1814</v>
      </c>
      <c r="D714" s="8" t="s">
        <v>1617</v>
      </c>
      <c r="E714" s="8" t="s">
        <v>1823</v>
      </c>
      <c r="F714" s="9">
        <v>45328</v>
      </c>
      <c r="G714" s="10">
        <f t="shared" ca="1" si="11"/>
        <v>1.8246575342465754</v>
      </c>
    </row>
    <row r="715" spans="1:7" x14ac:dyDescent="0.35">
      <c r="A715" s="8">
        <v>502426</v>
      </c>
      <c r="B715" s="8" t="s">
        <v>1824</v>
      </c>
      <c r="C715" s="8" t="s">
        <v>1814</v>
      </c>
      <c r="D715" s="8" t="s">
        <v>1617</v>
      </c>
      <c r="E715" s="8" t="s">
        <v>1825</v>
      </c>
      <c r="F715" s="9">
        <v>45673</v>
      </c>
      <c r="G715" s="10">
        <f t="shared" ca="1" si="11"/>
        <v>0.8794520547945206</v>
      </c>
    </row>
    <row r="716" spans="1:7" x14ac:dyDescent="0.35">
      <c r="A716" s="8">
        <v>502442</v>
      </c>
      <c r="B716" s="8" t="s">
        <v>1826</v>
      </c>
      <c r="C716" s="8" t="s">
        <v>1814</v>
      </c>
      <c r="D716" s="8" t="s">
        <v>1617</v>
      </c>
      <c r="E716" s="8" t="s">
        <v>1827</v>
      </c>
      <c r="F716" s="9">
        <v>45673</v>
      </c>
      <c r="G716" s="10">
        <f t="shared" ca="1" si="11"/>
        <v>0.8794520547945206</v>
      </c>
    </row>
    <row r="717" spans="1:7" x14ac:dyDescent="0.35">
      <c r="A717" s="8">
        <v>502436</v>
      </c>
      <c r="B717" s="8" t="s">
        <v>1828</v>
      </c>
      <c r="C717" s="8" t="s">
        <v>1814</v>
      </c>
      <c r="D717" s="8" t="s">
        <v>1617</v>
      </c>
      <c r="E717" s="8" t="s">
        <v>1829</v>
      </c>
      <c r="F717" s="9">
        <v>45565</v>
      </c>
      <c r="G717" s="10">
        <f t="shared" ca="1" si="11"/>
        <v>1.1753424657534246</v>
      </c>
    </row>
    <row r="718" spans="1:7" x14ac:dyDescent="0.35">
      <c r="A718" s="8">
        <v>502435</v>
      </c>
      <c r="B718" s="8" t="s">
        <v>1830</v>
      </c>
      <c r="C718" s="8" t="s">
        <v>1807</v>
      </c>
      <c r="D718" s="8" t="s">
        <v>1617</v>
      </c>
      <c r="E718" s="8" t="s">
        <v>1831</v>
      </c>
      <c r="F718" s="9">
        <v>44121</v>
      </c>
      <c r="G718" s="10">
        <f t="shared" ca="1" si="11"/>
        <v>5.1315068493150688</v>
      </c>
    </row>
    <row r="719" spans="1:7" x14ac:dyDescent="0.35">
      <c r="A719" s="8">
        <v>502424</v>
      </c>
      <c r="B719" s="8" t="s">
        <v>1832</v>
      </c>
      <c r="C719" s="8" t="s">
        <v>1814</v>
      </c>
      <c r="D719" s="8" t="s">
        <v>1617</v>
      </c>
      <c r="E719" s="8" t="s">
        <v>1833</v>
      </c>
      <c r="F719" s="9">
        <v>41977</v>
      </c>
      <c r="G719" s="10">
        <f t="shared" ca="1" si="11"/>
        <v>11.005479452054795</v>
      </c>
    </row>
    <row r="720" spans="1:7" x14ac:dyDescent="0.35">
      <c r="A720" s="8">
        <v>502290</v>
      </c>
      <c r="B720" s="8" t="s">
        <v>1834</v>
      </c>
      <c r="C720" s="8" t="s">
        <v>1835</v>
      </c>
      <c r="D720" s="8" t="s">
        <v>1836</v>
      </c>
      <c r="E720" s="8" t="s">
        <v>1837</v>
      </c>
      <c r="F720" s="9">
        <v>45861</v>
      </c>
      <c r="G720" s="10">
        <f t="shared" ca="1" si="11"/>
        <v>0.36438356164383562</v>
      </c>
    </row>
    <row r="721" spans="1:7" x14ac:dyDescent="0.35">
      <c r="A721" s="5">
        <v>502489</v>
      </c>
      <c r="B721" s="5" t="s">
        <v>1838</v>
      </c>
      <c r="C721" s="5" t="s">
        <v>1839</v>
      </c>
      <c r="D721" s="5" t="s">
        <v>1836</v>
      </c>
      <c r="E721" s="5" t="s">
        <v>1840</v>
      </c>
      <c r="F721" s="6">
        <v>45922</v>
      </c>
      <c r="G721" s="7">
        <f t="shared" ca="1" si="11"/>
        <v>0.19726027397260273</v>
      </c>
    </row>
    <row r="722" spans="1:7" x14ac:dyDescent="0.35">
      <c r="A722" s="8">
        <v>502170</v>
      </c>
      <c r="B722" s="8" t="s">
        <v>1841</v>
      </c>
      <c r="C722" s="8" t="s">
        <v>1842</v>
      </c>
      <c r="D722" s="8" t="s">
        <v>1836</v>
      </c>
      <c r="E722" s="8" t="s">
        <v>1843</v>
      </c>
      <c r="F722" s="9">
        <v>45768</v>
      </c>
      <c r="G722" s="10">
        <f t="shared" ca="1" si="11"/>
        <v>0.61917808219178083</v>
      </c>
    </row>
    <row r="723" spans="1:7" x14ac:dyDescent="0.35">
      <c r="A723" s="8">
        <v>501827</v>
      </c>
      <c r="B723" s="8" t="s">
        <v>1844</v>
      </c>
      <c r="C723" s="8" t="s">
        <v>1845</v>
      </c>
      <c r="D723" s="8" t="s">
        <v>1836</v>
      </c>
      <c r="E723" s="8" t="s">
        <v>1846</v>
      </c>
      <c r="F723" s="9">
        <v>45404</v>
      </c>
      <c r="G723" s="10">
        <f t="shared" ca="1" si="11"/>
        <v>1.6164383561643836</v>
      </c>
    </row>
    <row r="724" spans="1:7" x14ac:dyDescent="0.35">
      <c r="A724" s="8">
        <v>501544</v>
      </c>
      <c r="B724" s="8" t="s">
        <v>1847</v>
      </c>
      <c r="C724" s="8" t="s">
        <v>1848</v>
      </c>
      <c r="D724" s="8" t="s">
        <v>1836</v>
      </c>
      <c r="E724" s="8" t="s">
        <v>1849</v>
      </c>
      <c r="F724" s="9">
        <v>44958</v>
      </c>
      <c r="G724" s="10">
        <f t="shared" ca="1" si="11"/>
        <v>2.8383561643835615</v>
      </c>
    </row>
    <row r="725" spans="1:7" x14ac:dyDescent="0.35">
      <c r="A725" s="8">
        <v>502146</v>
      </c>
      <c r="B725" s="8" t="s">
        <v>1850</v>
      </c>
      <c r="C725" s="8" t="s">
        <v>1848</v>
      </c>
      <c r="D725" s="8" t="s">
        <v>1836</v>
      </c>
      <c r="E725" s="8" t="s">
        <v>1851</v>
      </c>
      <c r="F725" s="9">
        <v>45748</v>
      </c>
      <c r="G725" s="10">
        <f t="shared" ca="1" si="11"/>
        <v>0.67397260273972603</v>
      </c>
    </row>
    <row r="726" spans="1:7" x14ac:dyDescent="0.35">
      <c r="A726" s="8">
        <v>502347</v>
      </c>
      <c r="B726" s="8" t="s">
        <v>1852</v>
      </c>
      <c r="C726" s="8" t="s">
        <v>1848</v>
      </c>
      <c r="D726" s="8" t="s">
        <v>1836</v>
      </c>
      <c r="E726" s="8" t="s">
        <v>1853</v>
      </c>
      <c r="F726" s="9">
        <v>45887</v>
      </c>
      <c r="G726" s="10">
        <f t="shared" ca="1" si="11"/>
        <v>0.29315068493150687</v>
      </c>
    </row>
    <row r="727" spans="1:7" x14ac:dyDescent="0.35">
      <c r="A727" s="8">
        <v>502376</v>
      </c>
      <c r="B727" s="8" t="s">
        <v>1854</v>
      </c>
      <c r="C727" s="8" t="s">
        <v>1848</v>
      </c>
      <c r="D727" s="8" t="s">
        <v>1836</v>
      </c>
      <c r="E727" s="8" t="s">
        <v>1855</v>
      </c>
      <c r="F727" s="9">
        <v>45894</v>
      </c>
      <c r="G727" s="10">
        <f t="shared" ca="1" si="11"/>
        <v>0.27397260273972601</v>
      </c>
    </row>
    <row r="728" spans="1:7" x14ac:dyDescent="0.35">
      <c r="A728" s="8">
        <v>502371</v>
      </c>
      <c r="B728" s="8" t="s">
        <v>1856</v>
      </c>
      <c r="C728" s="8" t="s">
        <v>1848</v>
      </c>
      <c r="D728" s="8" t="s">
        <v>1836</v>
      </c>
      <c r="E728" s="8" t="s">
        <v>1857</v>
      </c>
      <c r="F728" s="9">
        <v>45894</v>
      </c>
      <c r="G728" s="10">
        <f t="shared" ca="1" si="11"/>
        <v>0.27397260273972601</v>
      </c>
    </row>
    <row r="729" spans="1:7" x14ac:dyDescent="0.35">
      <c r="A729" s="8">
        <v>500282</v>
      </c>
      <c r="B729" s="8" t="s">
        <v>1858</v>
      </c>
      <c r="C729" s="8" t="s">
        <v>1859</v>
      </c>
      <c r="D729" s="8" t="s">
        <v>1836</v>
      </c>
      <c r="E729" s="8" t="s">
        <v>1860</v>
      </c>
      <c r="F729" s="9">
        <v>43045</v>
      </c>
      <c r="G729" s="10">
        <f t="shared" ca="1" si="11"/>
        <v>8.0794520547945208</v>
      </c>
    </row>
    <row r="730" spans="1:7" x14ac:dyDescent="0.35">
      <c r="A730" s="8">
        <v>501407</v>
      </c>
      <c r="B730" s="8" t="s">
        <v>1861</v>
      </c>
      <c r="C730" s="8" t="s">
        <v>1862</v>
      </c>
      <c r="D730" s="8" t="s">
        <v>1836</v>
      </c>
      <c r="E730" s="8" t="s">
        <v>1863</v>
      </c>
      <c r="F730" s="9">
        <v>44713</v>
      </c>
      <c r="G730" s="10">
        <f t="shared" ca="1" si="11"/>
        <v>3.5095890410958903</v>
      </c>
    </row>
    <row r="731" spans="1:7" x14ac:dyDescent="0.35">
      <c r="A731" s="8">
        <v>501754</v>
      </c>
      <c r="B731" s="8" t="s">
        <v>1864</v>
      </c>
      <c r="C731" s="8" t="s">
        <v>1865</v>
      </c>
      <c r="D731" s="8" t="s">
        <v>1836</v>
      </c>
      <c r="E731" s="8" t="s">
        <v>1866</v>
      </c>
      <c r="F731" s="9">
        <v>45307</v>
      </c>
      <c r="G731" s="10">
        <f t="shared" ca="1" si="11"/>
        <v>1.8821917808219177</v>
      </c>
    </row>
    <row r="732" spans="1:7" x14ac:dyDescent="0.35">
      <c r="A732" s="8">
        <v>244</v>
      </c>
      <c r="B732" s="8" t="s">
        <v>1867</v>
      </c>
      <c r="C732" s="8" t="s">
        <v>1868</v>
      </c>
      <c r="D732" s="8" t="s">
        <v>1836</v>
      </c>
      <c r="E732" s="8" t="s">
        <v>1869</v>
      </c>
      <c r="F732" s="9">
        <v>39114</v>
      </c>
      <c r="G732" s="10">
        <f t="shared" ca="1" si="11"/>
        <v>18.849315068493151</v>
      </c>
    </row>
    <row r="733" spans="1:7" x14ac:dyDescent="0.35">
      <c r="A733" s="8">
        <v>501773</v>
      </c>
      <c r="B733" s="8" t="s">
        <v>1870</v>
      </c>
      <c r="C733" s="8" t="s">
        <v>1868</v>
      </c>
      <c r="D733" s="8" t="s">
        <v>1836</v>
      </c>
      <c r="E733" s="8" t="s">
        <v>1871</v>
      </c>
      <c r="F733" s="9">
        <v>45334</v>
      </c>
      <c r="G733" s="10">
        <f t="shared" ca="1" si="11"/>
        <v>1.8082191780821917</v>
      </c>
    </row>
    <row r="734" spans="1:7" x14ac:dyDescent="0.35">
      <c r="A734" s="8">
        <v>501904</v>
      </c>
      <c r="B734" s="8" t="s">
        <v>1872</v>
      </c>
      <c r="C734" s="8" t="s">
        <v>1873</v>
      </c>
      <c r="D734" s="8" t="s">
        <v>1836</v>
      </c>
      <c r="E734" s="8" t="s">
        <v>1874</v>
      </c>
      <c r="F734" s="9">
        <v>45824</v>
      </c>
      <c r="G734" s="10">
        <f t="shared" ca="1" si="11"/>
        <v>0.46575342465753422</v>
      </c>
    </row>
    <row r="735" spans="1:7" x14ac:dyDescent="0.35">
      <c r="A735" s="8">
        <v>502003</v>
      </c>
      <c r="B735" s="8" t="s">
        <v>1875</v>
      </c>
      <c r="C735" s="8" t="s">
        <v>1876</v>
      </c>
      <c r="D735" s="8" t="s">
        <v>1836</v>
      </c>
      <c r="E735" s="8" t="s">
        <v>1877</v>
      </c>
      <c r="F735" s="9">
        <v>45572</v>
      </c>
      <c r="G735" s="10">
        <f t="shared" ca="1" si="11"/>
        <v>1.1561643835616437</v>
      </c>
    </row>
    <row r="736" spans="1:7" x14ac:dyDescent="0.35">
      <c r="A736" s="8">
        <v>501752</v>
      </c>
      <c r="B736" s="8" t="s">
        <v>1878</v>
      </c>
      <c r="C736" s="8" t="s">
        <v>1879</v>
      </c>
      <c r="D736" s="8" t="s">
        <v>1836</v>
      </c>
      <c r="E736" s="8" t="s">
        <v>1880</v>
      </c>
      <c r="F736" s="9">
        <v>45293</v>
      </c>
      <c r="G736" s="10">
        <f t="shared" ca="1" si="11"/>
        <v>1.9205479452054794</v>
      </c>
    </row>
    <row r="737" spans="1:7" x14ac:dyDescent="0.35">
      <c r="A737" s="8">
        <v>501855</v>
      </c>
      <c r="B737" s="8" t="s">
        <v>1881</v>
      </c>
      <c r="C737" s="8" t="s">
        <v>1882</v>
      </c>
      <c r="D737" s="8" t="s">
        <v>1836</v>
      </c>
      <c r="E737" s="8" t="s">
        <v>1883</v>
      </c>
      <c r="F737" s="9">
        <v>45439</v>
      </c>
      <c r="G737" s="10">
        <f t="shared" ca="1" si="11"/>
        <v>1.5205479452054795</v>
      </c>
    </row>
    <row r="738" spans="1:7" x14ac:dyDescent="0.35">
      <c r="A738" s="8">
        <v>501894</v>
      </c>
      <c r="B738" s="8" t="s">
        <v>1884</v>
      </c>
      <c r="C738" s="8" t="s">
        <v>1885</v>
      </c>
      <c r="D738" s="8" t="s">
        <v>1836</v>
      </c>
      <c r="E738" s="8" t="s">
        <v>1886</v>
      </c>
      <c r="F738" s="9">
        <v>45474</v>
      </c>
      <c r="G738" s="10">
        <f t="shared" ca="1" si="11"/>
        <v>1.4246575342465753</v>
      </c>
    </row>
    <row r="739" spans="1:7" x14ac:dyDescent="0.35">
      <c r="A739" s="8">
        <v>501611</v>
      </c>
      <c r="B739" s="8" t="s">
        <v>1887</v>
      </c>
      <c r="C739" s="8" t="s">
        <v>1888</v>
      </c>
      <c r="D739" s="8" t="s">
        <v>1836</v>
      </c>
      <c r="E739" s="8" t="s">
        <v>1889</v>
      </c>
      <c r="F739" s="9">
        <v>45078</v>
      </c>
      <c r="G739" s="10">
        <f t="shared" ca="1" si="11"/>
        <v>2.5095890410958903</v>
      </c>
    </row>
    <row r="740" spans="1:7" x14ac:dyDescent="0.35">
      <c r="A740" s="8">
        <v>501826</v>
      </c>
      <c r="B740" s="8" t="s">
        <v>1890</v>
      </c>
      <c r="C740" s="8" t="s">
        <v>1891</v>
      </c>
      <c r="D740" s="8" t="s">
        <v>1836</v>
      </c>
      <c r="E740" s="8" t="s">
        <v>1892</v>
      </c>
      <c r="F740" s="9">
        <v>45404</v>
      </c>
      <c r="G740" s="10">
        <f t="shared" ca="1" si="11"/>
        <v>1.6164383561643836</v>
      </c>
    </row>
    <row r="741" spans="1:7" x14ac:dyDescent="0.35">
      <c r="A741" s="8">
        <v>64</v>
      </c>
      <c r="B741" s="8" t="s">
        <v>1893</v>
      </c>
      <c r="C741" s="8" t="s">
        <v>1894</v>
      </c>
      <c r="D741" s="8" t="s">
        <v>1836</v>
      </c>
      <c r="E741" s="8" t="s">
        <v>1895</v>
      </c>
      <c r="F741" s="9">
        <v>35262</v>
      </c>
      <c r="G741" s="10">
        <f t="shared" ca="1" si="11"/>
        <v>29.402739726027399</v>
      </c>
    </row>
    <row r="742" spans="1:7" x14ac:dyDescent="0.35">
      <c r="A742" s="8">
        <v>501870</v>
      </c>
      <c r="B742" s="8" t="s">
        <v>1896</v>
      </c>
      <c r="C742" s="8" t="s">
        <v>1897</v>
      </c>
      <c r="D742" s="8" t="s">
        <v>1836</v>
      </c>
      <c r="E742" s="8" t="s">
        <v>1898</v>
      </c>
      <c r="F742" s="9">
        <v>45453</v>
      </c>
      <c r="G742" s="10">
        <f t="shared" ca="1" si="11"/>
        <v>1.4821917808219178</v>
      </c>
    </row>
    <row r="743" spans="1:7" x14ac:dyDescent="0.35">
      <c r="A743" s="8">
        <v>501770</v>
      </c>
      <c r="B743" s="8" t="s">
        <v>1899</v>
      </c>
      <c r="C743" s="8" t="s">
        <v>1894</v>
      </c>
      <c r="D743" s="8" t="s">
        <v>1836</v>
      </c>
      <c r="E743" s="8" t="s">
        <v>1900</v>
      </c>
      <c r="F743" s="9">
        <v>45328</v>
      </c>
      <c r="G743" s="10">
        <f t="shared" ca="1" si="11"/>
        <v>1.8246575342465754</v>
      </c>
    </row>
    <row r="744" spans="1:7" x14ac:dyDescent="0.35">
      <c r="A744" s="8">
        <v>501991</v>
      </c>
      <c r="B744" s="8" t="s">
        <v>1901</v>
      </c>
      <c r="C744" s="8" t="s">
        <v>1902</v>
      </c>
      <c r="D744" s="8" t="s">
        <v>1836</v>
      </c>
      <c r="E744" s="8" t="s">
        <v>1903</v>
      </c>
      <c r="F744" s="9">
        <v>45567</v>
      </c>
      <c r="G744" s="10">
        <f t="shared" ca="1" si="11"/>
        <v>1.1698630136986301</v>
      </c>
    </row>
    <row r="745" spans="1:7" x14ac:dyDescent="0.35">
      <c r="A745" s="5">
        <v>502518</v>
      </c>
      <c r="B745" s="5" t="s">
        <v>1904</v>
      </c>
      <c r="C745" s="5" t="s">
        <v>119</v>
      </c>
      <c r="D745" s="5" t="s">
        <v>1836</v>
      </c>
      <c r="E745" s="5" t="s">
        <v>1905</v>
      </c>
      <c r="F745" s="6">
        <v>45936</v>
      </c>
      <c r="G745" s="7">
        <f t="shared" ca="1" si="11"/>
        <v>0.15890410958904111</v>
      </c>
    </row>
    <row r="746" spans="1:7" x14ac:dyDescent="0.35">
      <c r="A746" s="8">
        <v>501817</v>
      </c>
      <c r="B746" s="8" t="s">
        <v>1906</v>
      </c>
      <c r="C746" s="8" t="s">
        <v>1907</v>
      </c>
      <c r="D746" s="8" t="s">
        <v>1908</v>
      </c>
      <c r="E746" s="8" t="s">
        <v>1909</v>
      </c>
      <c r="F746" s="9">
        <v>45398</v>
      </c>
      <c r="G746" s="10">
        <f t="shared" ca="1" si="11"/>
        <v>1.6328767123287671</v>
      </c>
    </row>
    <row r="747" spans="1:7" x14ac:dyDescent="0.35">
      <c r="A747" s="8">
        <v>100799</v>
      </c>
      <c r="B747" s="8" t="s">
        <v>1910</v>
      </c>
      <c r="C747" s="8" t="s">
        <v>142</v>
      </c>
      <c r="D747" s="8" t="s">
        <v>1908</v>
      </c>
      <c r="E747" s="8" t="s">
        <v>1911</v>
      </c>
      <c r="F747" s="9">
        <v>41290</v>
      </c>
      <c r="G747" s="10">
        <f t="shared" ca="1" si="11"/>
        <v>12.887671232876713</v>
      </c>
    </row>
    <row r="748" spans="1:7" x14ac:dyDescent="0.35">
      <c r="A748" s="8">
        <v>502038</v>
      </c>
      <c r="B748" s="8" t="s">
        <v>1912</v>
      </c>
      <c r="C748" s="8" t="s">
        <v>803</v>
      </c>
      <c r="D748" s="8" t="s">
        <v>1908</v>
      </c>
      <c r="E748" s="8" t="s">
        <v>1913</v>
      </c>
      <c r="F748" s="9">
        <v>45607</v>
      </c>
      <c r="G748" s="10">
        <f t="shared" ca="1" si="11"/>
        <v>1.0602739726027397</v>
      </c>
    </row>
    <row r="749" spans="1:7" x14ac:dyDescent="0.35">
      <c r="A749" s="5">
        <v>502511</v>
      </c>
      <c r="B749" s="5" t="s">
        <v>1914</v>
      </c>
      <c r="C749" s="5" t="s">
        <v>1915</v>
      </c>
      <c r="D749" s="5" t="s">
        <v>1908</v>
      </c>
      <c r="E749" s="5" t="s">
        <v>1916</v>
      </c>
      <c r="F749" s="6">
        <v>45936</v>
      </c>
      <c r="G749" s="7">
        <f t="shared" ca="1" si="11"/>
        <v>0.15890410958904111</v>
      </c>
    </row>
    <row r="750" spans="1:7" x14ac:dyDescent="0.35">
      <c r="A750" s="8">
        <v>502144</v>
      </c>
      <c r="B750" s="8" t="s">
        <v>1917</v>
      </c>
      <c r="C750" s="8" t="s">
        <v>1918</v>
      </c>
      <c r="D750" s="8" t="s">
        <v>1908</v>
      </c>
      <c r="E750" s="8" t="s">
        <v>1919</v>
      </c>
      <c r="F750" s="9">
        <v>45734</v>
      </c>
      <c r="G750" s="10">
        <f t="shared" ca="1" si="11"/>
        <v>0.71232876712328763</v>
      </c>
    </row>
    <row r="751" spans="1:7" x14ac:dyDescent="0.35">
      <c r="A751" s="8">
        <v>502068</v>
      </c>
      <c r="B751" s="8" t="s">
        <v>1920</v>
      </c>
      <c r="C751" s="8" t="s">
        <v>1921</v>
      </c>
      <c r="D751" s="8" t="s">
        <v>1908</v>
      </c>
      <c r="E751" s="8" t="s">
        <v>1922</v>
      </c>
      <c r="F751" s="9">
        <v>45635</v>
      </c>
      <c r="G751" s="10">
        <f t="shared" ca="1" si="11"/>
        <v>0.98356164383561639</v>
      </c>
    </row>
    <row r="752" spans="1:7" x14ac:dyDescent="0.35">
      <c r="A752" s="5">
        <v>502516</v>
      </c>
      <c r="B752" s="5" t="s">
        <v>1923</v>
      </c>
      <c r="C752" s="5" t="s">
        <v>1924</v>
      </c>
      <c r="D752" s="5" t="s">
        <v>1908</v>
      </c>
      <c r="E752" s="5" t="s">
        <v>1925</v>
      </c>
      <c r="F752" s="6">
        <v>45936</v>
      </c>
      <c r="G752" s="7">
        <f t="shared" ca="1" si="11"/>
        <v>0.15890410958904111</v>
      </c>
    </row>
    <row r="753" spans="1:7" x14ac:dyDescent="0.35">
      <c r="A753" s="8">
        <v>501223</v>
      </c>
      <c r="B753" s="8" t="s">
        <v>1926</v>
      </c>
      <c r="C753" s="8" t="s">
        <v>1927</v>
      </c>
      <c r="D753" s="8" t="s">
        <v>1908</v>
      </c>
      <c r="E753" s="8" t="s">
        <v>1928</v>
      </c>
      <c r="F753" s="9">
        <v>44378</v>
      </c>
      <c r="G753" s="10">
        <f t="shared" ca="1" si="11"/>
        <v>4.4273972602739722</v>
      </c>
    </row>
    <row r="754" spans="1:7" x14ac:dyDescent="0.35">
      <c r="A754" s="8">
        <v>501226</v>
      </c>
      <c r="B754" s="8" t="s">
        <v>1929</v>
      </c>
      <c r="C754" s="8" t="s">
        <v>1930</v>
      </c>
      <c r="D754" s="8" t="s">
        <v>1908</v>
      </c>
      <c r="E754" s="8" t="s">
        <v>1931</v>
      </c>
      <c r="F754" s="9">
        <v>44378</v>
      </c>
      <c r="G754" s="10">
        <f t="shared" ca="1" si="11"/>
        <v>4.4273972602739722</v>
      </c>
    </row>
    <row r="755" spans="1:7" x14ac:dyDescent="0.35">
      <c r="A755" s="8">
        <v>502176</v>
      </c>
      <c r="B755" s="8" t="s">
        <v>1932</v>
      </c>
      <c r="C755" s="8" t="s">
        <v>1933</v>
      </c>
      <c r="D755" s="8" t="s">
        <v>1908</v>
      </c>
      <c r="E755" s="8" t="s">
        <v>1934</v>
      </c>
      <c r="F755" s="9">
        <v>45768</v>
      </c>
      <c r="G755" s="10">
        <f t="shared" ca="1" si="11"/>
        <v>0.61917808219178083</v>
      </c>
    </row>
    <row r="756" spans="1:7" x14ac:dyDescent="0.35">
      <c r="A756" s="8">
        <v>100949</v>
      </c>
      <c r="B756" s="8" t="s">
        <v>1935</v>
      </c>
      <c r="C756" s="8" t="s">
        <v>1933</v>
      </c>
      <c r="D756" s="8" t="s">
        <v>1908</v>
      </c>
      <c r="E756" s="8" t="s">
        <v>1936</v>
      </c>
      <c r="F756" s="9">
        <v>41526</v>
      </c>
      <c r="G756" s="10">
        <f t="shared" ca="1" si="11"/>
        <v>12.241095890410959</v>
      </c>
    </row>
    <row r="757" spans="1:7" x14ac:dyDescent="0.35">
      <c r="A757" s="8">
        <v>502214</v>
      </c>
      <c r="B757" s="8" t="s">
        <v>1937</v>
      </c>
      <c r="C757" s="8" t="s">
        <v>1933</v>
      </c>
      <c r="D757" s="8" t="s">
        <v>1908</v>
      </c>
      <c r="E757" s="8" t="s">
        <v>1938</v>
      </c>
      <c r="F757" s="9">
        <v>45824</v>
      </c>
      <c r="G757" s="10">
        <f t="shared" ca="1" si="11"/>
        <v>0.46575342465753422</v>
      </c>
    </row>
    <row r="758" spans="1:7" x14ac:dyDescent="0.35">
      <c r="A758" s="8">
        <v>502336</v>
      </c>
      <c r="B758" s="8" t="s">
        <v>1939</v>
      </c>
      <c r="C758" s="8" t="s">
        <v>1940</v>
      </c>
      <c r="D758" s="8" t="s">
        <v>1908</v>
      </c>
      <c r="E758" s="8" t="s">
        <v>1941</v>
      </c>
      <c r="F758" s="9">
        <v>45887</v>
      </c>
      <c r="G758" s="10">
        <f t="shared" ca="1" si="11"/>
        <v>0.29315068493150687</v>
      </c>
    </row>
    <row r="759" spans="1:7" x14ac:dyDescent="0.35">
      <c r="A759" s="5">
        <v>500836</v>
      </c>
      <c r="B759" s="5" t="s">
        <v>1942</v>
      </c>
      <c r="C759" s="5" t="s">
        <v>1943</v>
      </c>
      <c r="D759" s="5" t="s">
        <v>1908</v>
      </c>
      <c r="E759" s="5" t="s">
        <v>1944</v>
      </c>
      <c r="F759" s="6">
        <v>45950</v>
      </c>
      <c r="G759" s="7">
        <f t="shared" ca="1" si="11"/>
        <v>0.12054794520547946</v>
      </c>
    </row>
    <row r="760" spans="1:7" x14ac:dyDescent="0.35">
      <c r="A760" s="8">
        <v>100422</v>
      </c>
      <c r="B760" s="8" t="s">
        <v>1945</v>
      </c>
      <c r="C760" s="8" t="s">
        <v>1946</v>
      </c>
      <c r="D760" s="8" t="s">
        <v>1908</v>
      </c>
      <c r="E760" s="8" t="s">
        <v>1947</v>
      </c>
      <c r="F760" s="9">
        <v>40513</v>
      </c>
      <c r="G760" s="10">
        <f t="shared" ca="1" si="11"/>
        <v>15.016438356164384</v>
      </c>
    </row>
    <row r="761" spans="1:7" x14ac:dyDescent="0.35">
      <c r="A761" s="8">
        <v>500814</v>
      </c>
      <c r="B761" s="8" t="s">
        <v>1948</v>
      </c>
      <c r="C761" s="8" t="s">
        <v>1943</v>
      </c>
      <c r="D761" s="8" t="s">
        <v>1908</v>
      </c>
      <c r="E761" s="8" t="s">
        <v>1949</v>
      </c>
      <c r="F761" s="9">
        <v>43754</v>
      </c>
      <c r="G761" s="10">
        <f t="shared" ca="1" si="11"/>
        <v>6.1369863013698627</v>
      </c>
    </row>
    <row r="762" spans="1:7" x14ac:dyDescent="0.35">
      <c r="A762" s="8">
        <v>100046</v>
      </c>
      <c r="B762" s="8" t="s">
        <v>1950</v>
      </c>
      <c r="C762" s="8" t="s">
        <v>1933</v>
      </c>
      <c r="D762" s="8" t="s">
        <v>1908</v>
      </c>
      <c r="E762" s="8" t="s">
        <v>1951</v>
      </c>
      <c r="F762" s="9">
        <v>39770</v>
      </c>
      <c r="G762" s="10">
        <f t="shared" ca="1" si="11"/>
        <v>17.052054794520547</v>
      </c>
    </row>
    <row r="763" spans="1:7" x14ac:dyDescent="0.35">
      <c r="A763" s="8">
        <v>501222</v>
      </c>
      <c r="B763" s="8" t="s">
        <v>1952</v>
      </c>
      <c r="C763" s="8" t="s">
        <v>1943</v>
      </c>
      <c r="D763" s="8" t="s">
        <v>1908</v>
      </c>
      <c r="E763" s="8" t="s">
        <v>1953</v>
      </c>
      <c r="F763" s="9">
        <v>44378</v>
      </c>
      <c r="G763" s="10">
        <f t="shared" ca="1" si="11"/>
        <v>4.4273972602739722</v>
      </c>
    </row>
    <row r="764" spans="1:7" x14ac:dyDescent="0.35">
      <c r="A764" s="8">
        <v>501255</v>
      </c>
      <c r="B764" s="8" t="s">
        <v>1954</v>
      </c>
      <c r="C764" s="8" t="s">
        <v>1943</v>
      </c>
      <c r="D764" s="8" t="s">
        <v>1908</v>
      </c>
      <c r="E764" s="8" t="s">
        <v>1955</v>
      </c>
      <c r="F764" s="9">
        <v>44473</v>
      </c>
      <c r="G764" s="10">
        <f t="shared" ca="1" si="11"/>
        <v>4.1671232876712327</v>
      </c>
    </row>
    <row r="765" spans="1:7" x14ac:dyDescent="0.35">
      <c r="A765" s="8">
        <v>501623</v>
      </c>
      <c r="B765" s="8" t="s">
        <v>1956</v>
      </c>
      <c r="C765" s="8" t="s">
        <v>1933</v>
      </c>
      <c r="D765" s="8" t="s">
        <v>1908</v>
      </c>
      <c r="E765" s="8" t="s">
        <v>1957</v>
      </c>
      <c r="F765" s="9">
        <v>45100</v>
      </c>
      <c r="G765" s="10">
        <f t="shared" ca="1" si="11"/>
        <v>2.4493150684931506</v>
      </c>
    </row>
    <row r="766" spans="1:7" x14ac:dyDescent="0.35">
      <c r="A766" s="8">
        <v>501846</v>
      </c>
      <c r="B766" s="8" t="s">
        <v>1958</v>
      </c>
      <c r="C766" s="8" t="s">
        <v>1943</v>
      </c>
      <c r="D766" s="8" t="s">
        <v>1908</v>
      </c>
      <c r="E766" s="8" t="s">
        <v>1959</v>
      </c>
      <c r="F766" s="9">
        <v>45428</v>
      </c>
      <c r="G766" s="10">
        <f t="shared" ca="1" si="11"/>
        <v>1.5506849315068494</v>
      </c>
    </row>
    <row r="767" spans="1:7" x14ac:dyDescent="0.35">
      <c r="A767" s="8">
        <v>100886</v>
      </c>
      <c r="B767" s="8" t="s">
        <v>1960</v>
      </c>
      <c r="C767" s="8" t="s">
        <v>1933</v>
      </c>
      <c r="D767" s="8" t="s">
        <v>1908</v>
      </c>
      <c r="E767" s="8" t="s">
        <v>1961</v>
      </c>
      <c r="F767" s="9">
        <v>41428</v>
      </c>
      <c r="G767" s="10">
        <f t="shared" ca="1" si="11"/>
        <v>12.509589041095891</v>
      </c>
    </row>
    <row r="768" spans="1:7" x14ac:dyDescent="0.35">
      <c r="A768" s="8">
        <v>101066</v>
      </c>
      <c r="B768" s="8" t="s">
        <v>1962</v>
      </c>
      <c r="C768" s="8" t="s">
        <v>1963</v>
      </c>
      <c r="D768" s="8" t="s">
        <v>1908</v>
      </c>
      <c r="E768" s="8" t="s">
        <v>1964</v>
      </c>
      <c r="F768" s="9">
        <v>41750</v>
      </c>
      <c r="G768" s="10">
        <f t="shared" ca="1" si="11"/>
        <v>11.627397260273973</v>
      </c>
    </row>
    <row r="769" spans="1:7" x14ac:dyDescent="0.35">
      <c r="A769" s="8">
        <v>501221</v>
      </c>
      <c r="B769" s="8" t="s">
        <v>1965</v>
      </c>
      <c r="C769" s="8" t="s">
        <v>1943</v>
      </c>
      <c r="D769" s="8" t="s">
        <v>1908</v>
      </c>
      <c r="E769" s="8" t="s">
        <v>1966</v>
      </c>
      <c r="F769" s="9">
        <v>44378</v>
      </c>
      <c r="G769" s="10">
        <f t="shared" ca="1" si="11"/>
        <v>4.4273972602739722</v>
      </c>
    </row>
    <row r="770" spans="1:7" x14ac:dyDescent="0.35">
      <c r="A770" s="8">
        <v>501920</v>
      </c>
      <c r="B770" s="8" t="s">
        <v>1967</v>
      </c>
      <c r="C770" s="8" t="s">
        <v>1933</v>
      </c>
      <c r="D770" s="8" t="s">
        <v>1908</v>
      </c>
      <c r="E770" s="8" t="s">
        <v>1968</v>
      </c>
      <c r="F770" s="9">
        <v>45509</v>
      </c>
      <c r="G770" s="10">
        <f t="shared" ca="1" si="11"/>
        <v>1.3287671232876712</v>
      </c>
    </row>
    <row r="771" spans="1:7" x14ac:dyDescent="0.35">
      <c r="A771" s="8">
        <v>501878</v>
      </c>
      <c r="B771" s="8" t="s">
        <v>1969</v>
      </c>
      <c r="C771" s="8" t="s">
        <v>1930</v>
      </c>
      <c r="D771" s="8" t="s">
        <v>1908</v>
      </c>
      <c r="E771" s="8" t="s">
        <v>1970</v>
      </c>
      <c r="F771" s="9">
        <v>45460</v>
      </c>
      <c r="G771" s="10">
        <f t="shared" ca="1" si="11"/>
        <v>1.463013698630137</v>
      </c>
    </row>
    <row r="772" spans="1:7" x14ac:dyDescent="0.35">
      <c r="A772" s="8">
        <v>501225</v>
      </c>
      <c r="B772" s="8" t="s">
        <v>1971</v>
      </c>
      <c r="C772" s="8" t="s">
        <v>1943</v>
      </c>
      <c r="D772" s="8" t="s">
        <v>1908</v>
      </c>
      <c r="E772" s="8" t="s">
        <v>1972</v>
      </c>
      <c r="F772" s="9">
        <v>44378</v>
      </c>
      <c r="G772" s="10">
        <f t="shared" ca="1" si="11"/>
        <v>4.4273972602739722</v>
      </c>
    </row>
    <row r="773" spans="1:7" x14ac:dyDescent="0.35">
      <c r="A773" s="8">
        <v>501915</v>
      </c>
      <c r="B773" s="8" t="s">
        <v>1973</v>
      </c>
      <c r="C773" s="8" t="s">
        <v>1974</v>
      </c>
      <c r="D773" s="8" t="s">
        <v>1908</v>
      </c>
      <c r="E773" s="8" t="s">
        <v>1975</v>
      </c>
      <c r="F773" s="9">
        <v>45495</v>
      </c>
      <c r="G773" s="10">
        <f t="shared" ref="G773:G836" ca="1" si="12">($G$1-F773)/365</f>
        <v>1.3671232876712329</v>
      </c>
    </row>
    <row r="774" spans="1:7" x14ac:dyDescent="0.35">
      <c r="A774" s="8">
        <v>501227</v>
      </c>
      <c r="B774" s="8" t="s">
        <v>1976</v>
      </c>
      <c r="C774" s="8" t="s">
        <v>1977</v>
      </c>
      <c r="D774" s="8" t="s">
        <v>1908</v>
      </c>
      <c r="E774" s="8" t="s">
        <v>1978</v>
      </c>
      <c r="F774" s="9">
        <v>44378</v>
      </c>
      <c r="G774" s="10">
        <f t="shared" ca="1" si="12"/>
        <v>4.4273972602739722</v>
      </c>
    </row>
    <row r="775" spans="1:7" x14ac:dyDescent="0.35">
      <c r="A775" s="8">
        <v>501890</v>
      </c>
      <c r="B775" s="8" t="s">
        <v>1979</v>
      </c>
      <c r="C775" s="8" t="s">
        <v>1980</v>
      </c>
      <c r="D775" s="8" t="s">
        <v>1908</v>
      </c>
      <c r="E775" s="8" t="s">
        <v>1981</v>
      </c>
      <c r="F775" s="9">
        <v>45474</v>
      </c>
      <c r="G775" s="10">
        <f t="shared" ca="1" si="12"/>
        <v>1.4246575342465753</v>
      </c>
    </row>
    <row r="776" spans="1:7" x14ac:dyDescent="0.35">
      <c r="A776" s="8">
        <v>502126</v>
      </c>
      <c r="B776" s="8" t="s">
        <v>1982</v>
      </c>
      <c r="C776" s="8" t="s">
        <v>1983</v>
      </c>
      <c r="D776" s="8" t="s">
        <v>1908</v>
      </c>
      <c r="E776" s="8" t="s">
        <v>1984</v>
      </c>
      <c r="F776" s="9">
        <v>45719</v>
      </c>
      <c r="G776" s="10">
        <f t="shared" ca="1" si="12"/>
        <v>0.75342465753424659</v>
      </c>
    </row>
    <row r="777" spans="1:7" x14ac:dyDescent="0.35">
      <c r="A777" s="8">
        <v>501866</v>
      </c>
      <c r="B777" s="8" t="s">
        <v>1985</v>
      </c>
      <c r="C777" s="8" t="s">
        <v>1986</v>
      </c>
      <c r="D777" s="8" t="s">
        <v>1908</v>
      </c>
      <c r="E777" s="8" t="s">
        <v>1987</v>
      </c>
      <c r="F777" s="9">
        <v>45446</v>
      </c>
      <c r="G777" s="10">
        <f t="shared" ca="1" si="12"/>
        <v>1.5013698630136987</v>
      </c>
    </row>
    <row r="778" spans="1:7" x14ac:dyDescent="0.35">
      <c r="A778" s="8">
        <v>501301</v>
      </c>
      <c r="B778" s="8" t="s">
        <v>1988</v>
      </c>
      <c r="C778" s="8" t="s">
        <v>1989</v>
      </c>
      <c r="D778" s="8" t="s">
        <v>1908</v>
      </c>
      <c r="E778" s="8" t="s">
        <v>1990</v>
      </c>
      <c r="F778" s="9">
        <v>44593</v>
      </c>
      <c r="G778" s="10">
        <f t="shared" ca="1" si="12"/>
        <v>3.8383561643835615</v>
      </c>
    </row>
    <row r="779" spans="1:7" x14ac:dyDescent="0.35">
      <c r="A779" s="8">
        <v>50</v>
      </c>
      <c r="B779" s="8" t="s">
        <v>1991</v>
      </c>
      <c r="C779" s="8" t="s">
        <v>1940</v>
      </c>
      <c r="D779" s="8" t="s">
        <v>1908</v>
      </c>
      <c r="E779" s="8" t="s">
        <v>1992</v>
      </c>
      <c r="F779" s="9">
        <v>35886</v>
      </c>
      <c r="G779" s="10">
        <f t="shared" ca="1" si="12"/>
        <v>27.693150684931506</v>
      </c>
    </row>
    <row r="780" spans="1:7" x14ac:dyDescent="0.35">
      <c r="A780" s="8">
        <v>501511</v>
      </c>
      <c r="B780" s="8" t="s">
        <v>1993</v>
      </c>
      <c r="C780" s="8" t="s">
        <v>1943</v>
      </c>
      <c r="D780" s="8" t="s">
        <v>1908</v>
      </c>
      <c r="E780" s="8" t="s">
        <v>1994</v>
      </c>
      <c r="F780" s="9">
        <v>44896</v>
      </c>
      <c r="G780" s="10">
        <f t="shared" ca="1" si="12"/>
        <v>3.0082191780821916</v>
      </c>
    </row>
    <row r="781" spans="1:7" x14ac:dyDescent="0.35">
      <c r="A781" s="8">
        <v>501287</v>
      </c>
      <c r="B781" s="8" t="s">
        <v>1995</v>
      </c>
      <c r="C781" s="8" t="s">
        <v>1933</v>
      </c>
      <c r="D781" s="8" t="s">
        <v>1908</v>
      </c>
      <c r="E781" s="8" t="s">
        <v>1996</v>
      </c>
      <c r="F781" s="9">
        <v>44536</v>
      </c>
      <c r="G781" s="10">
        <f t="shared" ca="1" si="12"/>
        <v>3.9945205479452053</v>
      </c>
    </row>
    <row r="782" spans="1:7" x14ac:dyDescent="0.35">
      <c r="A782" s="8">
        <v>501528</v>
      </c>
      <c r="B782" s="8" t="s">
        <v>1997</v>
      </c>
      <c r="C782" s="8" t="s">
        <v>1998</v>
      </c>
      <c r="D782" s="8" t="s">
        <v>1908</v>
      </c>
      <c r="E782" s="8" t="s">
        <v>1999</v>
      </c>
      <c r="F782" s="9">
        <v>44935</v>
      </c>
      <c r="G782" s="10">
        <f t="shared" ca="1" si="12"/>
        <v>2.9013698630136986</v>
      </c>
    </row>
    <row r="783" spans="1:7" x14ac:dyDescent="0.35">
      <c r="A783" s="8">
        <v>500171</v>
      </c>
      <c r="B783" s="8" t="s">
        <v>2000</v>
      </c>
      <c r="C783" s="8" t="s">
        <v>2001</v>
      </c>
      <c r="D783" s="8" t="s">
        <v>1908</v>
      </c>
      <c r="E783" s="8" t="s">
        <v>2002</v>
      </c>
      <c r="F783" s="9">
        <v>44363</v>
      </c>
      <c r="G783" s="10">
        <f t="shared" ca="1" si="12"/>
        <v>4.4684931506849317</v>
      </c>
    </row>
    <row r="784" spans="1:7" x14ac:dyDescent="0.35">
      <c r="A784" s="8">
        <v>331</v>
      </c>
      <c r="B784" s="8" t="s">
        <v>2003</v>
      </c>
      <c r="C784" s="8" t="s">
        <v>1927</v>
      </c>
      <c r="D784" s="8" t="s">
        <v>1908</v>
      </c>
      <c r="E784" s="8" t="s">
        <v>2004</v>
      </c>
      <c r="F784" s="9">
        <v>39216</v>
      </c>
      <c r="G784" s="10">
        <f t="shared" ca="1" si="12"/>
        <v>18.56986301369863</v>
      </c>
    </row>
    <row r="785" spans="1:7" x14ac:dyDescent="0.35">
      <c r="A785" s="8">
        <v>502234</v>
      </c>
      <c r="B785" s="8" t="s">
        <v>2005</v>
      </c>
      <c r="C785" s="8" t="s">
        <v>1933</v>
      </c>
      <c r="D785" s="8" t="s">
        <v>1908</v>
      </c>
      <c r="E785" s="8" t="s">
        <v>2006</v>
      </c>
      <c r="F785" s="9">
        <v>45824</v>
      </c>
      <c r="G785" s="10">
        <f t="shared" ca="1" si="12"/>
        <v>0.46575342465753422</v>
      </c>
    </row>
    <row r="786" spans="1:7" x14ac:dyDescent="0.35">
      <c r="A786" s="8">
        <v>500242</v>
      </c>
      <c r="B786" s="8" t="s">
        <v>2007</v>
      </c>
      <c r="C786" s="8" t="s">
        <v>1933</v>
      </c>
      <c r="D786" s="8" t="s">
        <v>1908</v>
      </c>
      <c r="E786" s="8" t="s">
        <v>2008</v>
      </c>
      <c r="F786" s="9">
        <v>42387</v>
      </c>
      <c r="G786" s="10">
        <f t="shared" ca="1" si="12"/>
        <v>9.882191780821918</v>
      </c>
    </row>
    <row r="787" spans="1:7" x14ac:dyDescent="0.35">
      <c r="A787" s="8">
        <v>829</v>
      </c>
      <c r="B787" s="8" t="s">
        <v>2009</v>
      </c>
      <c r="C787" s="8" t="s">
        <v>1933</v>
      </c>
      <c r="D787" s="8" t="s">
        <v>1908</v>
      </c>
      <c r="E787" s="8" t="s">
        <v>2010</v>
      </c>
      <c r="F787" s="9">
        <v>39584</v>
      </c>
      <c r="G787" s="10">
        <f t="shared" ca="1" si="12"/>
        <v>17.561643835616437</v>
      </c>
    </row>
    <row r="788" spans="1:7" x14ac:dyDescent="0.35">
      <c r="A788" s="8">
        <v>501390</v>
      </c>
      <c r="B788" s="8" t="s">
        <v>2011</v>
      </c>
      <c r="C788" s="8" t="s">
        <v>1998</v>
      </c>
      <c r="D788" s="8" t="s">
        <v>1908</v>
      </c>
      <c r="E788" s="8" t="s">
        <v>2012</v>
      </c>
      <c r="F788" s="9">
        <v>44697</v>
      </c>
      <c r="G788" s="10">
        <f t="shared" ca="1" si="12"/>
        <v>3.5534246575342467</v>
      </c>
    </row>
    <row r="789" spans="1:7" x14ac:dyDescent="0.35">
      <c r="A789" s="8">
        <v>502289</v>
      </c>
      <c r="B789" s="8" t="s">
        <v>2013</v>
      </c>
      <c r="C789" s="8" t="s">
        <v>2014</v>
      </c>
      <c r="D789" s="8" t="s">
        <v>1908</v>
      </c>
      <c r="E789" s="8" t="s">
        <v>2015</v>
      </c>
      <c r="F789" s="9">
        <v>45861</v>
      </c>
      <c r="G789" s="10">
        <f t="shared" ca="1" si="12"/>
        <v>0.36438356164383562</v>
      </c>
    </row>
    <row r="790" spans="1:7" x14ac:dyDescent="0.35">
      <c r="A790" s="8">
        <v>501347</v>
      </c>
      <c r="B790" s="8" t="s">
        <v>2016</v>
      </c>
      <c r="C790" s="8" t="s">
        <v>2017</v>
      </c>
      <c r="D790" s="8" t="s">
        <v>1908</v>
      </c>
      <c r="E790" s="8" t="s">
        <v>2018</v>
      </c>
      <c r="F790" s="9">
        <v>44669</v>
      </c>
      <c r="G790" s="10">
        <f t="shared" ca="1" si="12"/>
        <v>3.6301369863013697</v>
      </c>
    </row>
    <row r="791" spans="1:7" x14ac:dyDescent="0.35">
      <c r="A791" s="8">
        <v>501460</v>
      </c>
      <c r="B791" s="8" t="s">
        <v>2019</v>
      </c>
      <c r="C791" s="8" t="s">
        <v>2017</v>
      </c>
      <c r="D791" s="8" t="s">
        <v>1908</v>
      </c>
      <c r="E791" s="8" t="s">
        <v>2020</v>
      </c>
      <c r="F791" s="9">
        <v>44805</v>
      </c>
      <c r="G791" s="10">
        <f t="shared" ca="1" si="12"/>
        <v>3.2575342465753425</v>
      </c>
    </row>
    <row r="792" spans="1:7" x14ac:dyDescent="0.35">
      <c r="A792" s="5">
        <v>502536</v>
      </c>
      <c r="B792" s="5" t="s">
        <v>2021</v>
      </c>
      <c r="C792" s="5" t="s">
        <v>2022</v>
      </c>
      <c r="D792" s="5" t="s">
        <v>1908</v>
      </c>
      <c r="E792" s="5" t="s">
        <v>2023</v>
      </c>
      <c r="F792" s="6">
        <v>45950</v>
      </c>
      <c r="G792" s="7">
        <f t="shared" ca="1" si="12"/>
        <v>0.12054794520547946</v>
      </c>
    </row>
    <row r="793" spans="1:7" x14ac:dyDescent="0.35">
      <c r="A793" s="8">
        <v>502113</v>
      </c>
      <c r="B793" s="8" t="s">
        <v>2024</v>
      </c>
      <c r="C793" s="8" t="s">
        <v>2017</v>
      </c>
      <c r="D793" s="8" t="s">
        <v>1908</v>
      </c>
      <c r="E793" s="8" t="s">
        <v>2025</v>
      </c>
      <c r="F793" s="9">
        <v>45705</v>
      </c>
      <c r="G793" s="10">
        <f t="shared" ca="1" si="12"/>
        <v>0.79178082191780819</v>
      </c>
    </row>
    <row r="794" spans="1:7" x14ac:dyDescent="0.35">
      <c r="A794" s="5">
        <v>502534</v>
      </c>
      <c r="B794" s="5" t="s">
        <v>2026</v>
      </c>
      <c r="C794" s="5" t="s">
        <v>2022</v>
      </c>
      <c r="D794" s="5" t="s">
        <v>1908</v>
      </c>
      <c r="E794" s="5" t="s">
        <v>2027</v>
      </c>
      <c r="F794" s="6">
        <v>45950</v>
      </c>
      <c r="G794" s="7">
        <f t="shared" ca="1" si="12"/>
        <v>0.12054794520547946</v>
      </c>
    </row>
    <row r="795" spans="1:7" x14ac:dyDescent="0.35">
      <c r="A795" s="8">
        <v>1873</v>
      </c>
      <c r="B795" s="8" t="s">
        <v>2028</v>
      </c>
      <c r="C795" s="8" t="s">
        <v>2029</v>
      </c>
      <c r="D795" s="8" t="s">
        <v>1908</v>
      </c>
      <c r="E795" s="8" t="s">
        <v>2030</v>
      </c>
      <c r="F795" s="9">
        <v>42933</v>
      </c>
      <c r="G795" s="10">
        <f t="shared" ca="1" si="12"/>
        <v>8.3863013698630144</v>
      </c>
    </row>
    <row r="796" spans="1:7" x14ac:dyDescent="0.35">
      <c r="A796" s="8">
        <v>501865</v>
      </c>
      <c r="B796" s="8" t="s">
        <v>2031</v>
      </c>
      <c r="C796" s="8" t="s">
        <v>2032</v>
      </c>
      <c r="D796" s="8" t="s">
        <v>1908</v>
      </c>
      <c r="E796" s="8" t="s">
        <v>2033</v>
      </c>
      <c r="F796" s="9">
        <v>45446</v>
      </c>
      <c r="G796" s="10">
        <f t="shared" ca="1" si="12"/>
        <v>1.5013698630136987</v>
      </c>
    </row>
    <row r="797" spans="1:7" x14ac:dyDescent="0.35">
      <c r="A797" s="8">
        <v>501604</v>
      </c>
      <c r="B797" s="8" t="s">
        <v>2034</v>
      </c>
      <c r="C797" s="8" t="s">
        <v>2032</v>
      </c>
      <c r="D797" s="8" t="s">
        <v>1908</v>
      </c>
      <c r="E797" s="8" t="s">
        <v>2035</v>
      </c>
      <c r="F797" s="9">
        <v>45078</v>
      </c>
      <c r="G797" s="10">
        <f t="shared" ca="1" si="12"/>
        <v>2.5095890410958903</v>
      </c>
    </row>
    <row r="798" spans="1:7" x14ac:dyDescent="0.35">
      <c r="A798" s="8">
        <v>1901</v>
      </c>
      <c r="B798" s="8" t="s">
        <v>2036</v>
      </c>
      <c r="C798" s="8" t="s">
        <v>2029</v>
      </c>
      <c r="D798" s="8" t="s">
        <v>1908</v>
      </c>
      <c r="E798" s="8" t="s">
        <v>2037</v>
      </c>
      <c r="F798" s="9">
        <v>42982</v>
      </c>
      <c r="G798" s="10">
        <f t="shared" ca="1" si="12"/>
        <v>8.2520547945205482</v>
      </c>
    </row>
    <row r="799" spans="1:7" x14ac:dyDescent="0.35">
      <c r="A799" s="8">
        <v>101453</v>
      </c>
      <c r="B799" s="8" t="s">
        <v>2038</v>
      </c>
      <c r="C799" s="8" t="s">
        <v>2032</v>
      </c>
      <c r="D799" s="8" t="s">
        <v>1908</v>
      </c>
      <c r="E799" s="8" t="s">
        <v>2039</v>
      </c>
      <c r="F799" s="9">
        <v>42311</v>
      </c>
      <c r="G799" s="10">
        <f t="shared" ca="1" si="12"/>
        <v>10.09041095890411</v>
      </c>
    </row>
    <row r="800" spans="1:7" x14ac:dyDescent="0.35">
      <c r="A800" s="8">
        <v>501449</v>
      </c>
      <c r="B800" s="8" t="s">
        <v>2040</v>
      </c>
      <c r="C800" s="8" t="s">
        <v>2032</v>
      </c>
      <c r="D800" s="8" t="s">
        <v>1908</v>
      </c>
      <c r="E800" s="8" t="s">
        <v>2041</v>
      </c>
      <c r="F800" s="9">
        <v>44789</v>
      </c>
      <c r="G800" s="10">
        <f t="shared" ca="1" si="12"/>
        <v>3.3013698630136985</v>
      </c>
    </row>
    <row r="801" spans="1:7" x14ac:dyDescent="0.35">
      <c r="A801" s="8">
        <v>500624</v>
      </c>
      <c r="B801" s="8" t="s">
        <v>2042</v>
      </c>
      <c r="C801" s="8" t="s">
        <v>2043</v>
      </c>
      <c r="D801" s="8" t="s">
        <v>1908</v>
      </c>
      <c r="E801" s="8" t="s">
        <v>2044</v>
      </c>
      <c r="F801" s="9">
        <v>43514</v>
      </c>
      <c r="G801" s="10">
        <f t="shared" ca="1" si="12"/>
        <v>6.7945205479452051</v>
      </c>
    </row>
    <row r="802" spans="1:7" x14ac:dyDescent="0.35">
      <c r="A802" s="8">
        <v>101224</v>
      </c>
      <c r="B802" s="8" t="s">
        <v>2045</v>
      </c>
      <c r="C802" s="8" t="s">
        <v>2032</v>
      </c>
      <c r="D802" s="8" t="s">
        <v>1908</v>
      </c>
      <c r="E802" s="8" t="s">
        <v>2046</v>
      </c>
      <c r="F802" s="9">
        <v>41974</v>
      </c>
      <c r="G802" s="10">
        <f t="shared" ca="1" si="12"/>
        <v>11.013698630136986</v>
      </c>
    </row>
    <row r="803" spans="1:7" x14ac:dyDescent="0.35">
      <c r="A803" s="8">
        <v>501940</v>
      </c>
      <c r="B803" s="8" t="s">
        <v>2047</v>
      </c>
      <c r="C803" s="8" t="s">
        <v>2048</v>
      </c>
      <c r="D803" s="8" t="s">
        <v>1908</v>
      </c>
      <c r="E803" s="8" t="s">
        <v>2049</v>
      </c>
      <c r="F803" s="9">
        <v>45768</v>
      </c>
      <c r="G803" s="10">
        <f t="shared" ca="1" si="12"/>
        <v>0.61917808219178083</v>
      </c>
    </row>
    <row r="804" spans="1:7" x14ac:dyDescent="0.35">
      <c r="A804" s="8">
        <v>501949</v>
      </c>
      <c r="B804" s="8" t="s">
        <v>2050</v>
      </c>
      <c r="C804" s="8" t="s">
        <v>2051</v>
      </c>
      <c r="D804" s="8" t="s">
        <v>1908</v>
      </c>
      <c r="E804" s="8" t="s">
        <v>2052</v>
      </c>
      <c r="F804" s="9">
        <v>45537</v>
      </c>
      <c r="G804" s="10">
        <f t="shared" ca="1" si="12"/>
        <v>1.252054794520548</v>
      </c>
    </row>
    <row r="805" spans="1:7" x14ac:dyDescent="0.35">
      <c r="A805" s="8">
        <v>501923</v>
      </c>
      <c r="B805" s="8" t="s">
        <v>2053</v>
      </c>
      <c r="C805" s="8" t="s">
        <v>2054</v>
      </c>
      <c r="D805" s="8" t="s">
        <v>1908</v>
      </c>
      <c r="E805" s="8" t="s">
        <v>2055</v>
      </c>
      <c r="F805" s="9">
        <v>45509</v>
      </c>
      <c r="G805" s="10">
        <f t="shared" ca="1" si="12"/>
        <v>1.3287671232876712</v>
      </c>
    </row>
    <row r="806" spans="1:7" x14ac:dyDescent="0.35">
      <c r="A806" s="8">
        <v>501975</v>
      </c>
      <c r="B806" s="8" t="s">
        <v>2056</v>
      </c>
      <c r="C806" s="8" t="s">
        <v>2057</v>
      </c>
      <c r="D806" s="8" t="s">
        <v>1908</v>
      </c>
      <c r="E806" s="8" t="s">
        <v>2058</v>
      </c>
      <c r="F806" s="9">
        <v>45552</v>
      </c>
      <c r="G806" s="10">
        <f t="shared" ca="1" si="12"/>
        <v>1.210958904109589</v>
      </c>
    </row>
    <row r="807" spans="1:7" x14ac:dyDescent="0.35">
      <c r="A807" s="8">
        <v>501459</v>
      </c>
      <c r="B807" s="8" t="s">
        <v>2059</v>
      </c>
      <c r="C807" s="8" t="s">
        <v>2060</v>
      </c>
      <c r="D807" s="8" t="s">
        <v>1908</v>
      </c>
      <c r="E807" s="8" t="s">
        <v>2061</v>
      </c>
      <c r="F807" s="9">
        <v>44805</v>
      </c>
      <c r="G807" s="10">
        <f t="shared" ca="1" si="12"/>
        <v>3.2575342465753425</v>
      </c>
    </row>
    <row r="808" spans="1:7" x14ac:dyDescent="0.35">
      <c r="A808" s="5">
        <v>502535</v>
      </c>
      <c r="B808" s="5" t="s">
        <v>2062</v>
      </c>
      <c r="C808" s="5" t="s">
        <v>2063</v>
      </c>
      <c r="D808" s="5" t="s">
        <v>1908</v>
      </c>
      <c r="E808" s="5" t="s">
        <v>2064</v>
      </c>
      <c r="F808" s="6">
        <v>45950</v>
      </c>
      <c r="G808" s="7">
        <f t="shared" ca="1" si="12"/>
        <v>0.12054794520547946</v>
      </c>
    </row>
    <row r="809" spans="1:7" x14ac:dyDescent="0.35">
      <c r="A809" s="8">
        <v>100039</v>
      </c>
      <c r="B809" s="8" t="s">
        <v>2065</v>
      </c>
      <c r="C809" s="8" t="s">
        <v>2066</v>
      </c>
      <c r="D809" s="8" t="s">
        <v>1908</v>
      </c>
      <c r="E809" s="8" t="s">
        <v>2067</v>
      </c>
      <c r="F809" s="9">
        <v>39770</v>
      </c>
      <c r="G809" s="10">
        <f t="shared" ca="1" si="12"/>
        <v>17.052054794520547</v>
      </c>
    </row>
    <row r="810" spans="1:7" x14ac:dyDescent="0.35">
      <c r="A810" s="8">
        <v>1187</v>
      </c>
      <c r="B810" s="8" t="s">
        <v>2068</v>
      </c>
      <c r="C810" s="8" t="s">
        <v>2069</v>
      </c>
      <c r="D810" s="8" t="s">
        <v>1908</v>
      </c>
      <c r="E810" s="8" t="s">
        <v>2070</v>
      </c>
      <c r="F810" s="9">
        <v>39385</v>
      </c>
      <c r="G810" s="10">
        <f t="shared" ca="1" si="12"/>
        <v>18.106849315068494</v>
      </c>
    </row>
    <row r="811" spans="1:7" x14ac:dyDescent="0.35">
      <c r="A811" s="8">
        <v>501620</v>
      </c>
      <c r="B811" s="8" t="s">
        <v>2071</v>
      </c>
      <c r="C811" s="8" t="s">
        <v>2072</v>
      </c>
      <c r="D811" s="8" t="s">
        <v>1908</v>
      </c>
      <c r="E811" s="8" t="s">
        <v>2073</v>
      </c>
      <c r="F811" s="9">
        <v>45096</v>
      </c>
      <c r="G811" s="10">
        <f t="shared" ca="1" si="12"/>
        <v>2.4602739726027396</v>
      </c>
    </row>
    <row r="812" spans="1:7" x14ac:dyDescent="0.35">
      <c r="A812" s="8">
        <v>501849</v>
      </c>
      <c r="B812" s="8" t="s">
        <v>2074</v>
      </c>
      <c r="C812" s="8" t="s">
        <v>2075</v>
      </c>
      <c r="D812" s="8" t="s">
        <v>1908</v>
      </c>
      <c r="E812" s="8" t="s">
        <v>2076</v>
      </c>
      <c r="F812" s="9">
        <v>45432</v>
      </c>
      <c r="G812" s="10">
        <f t="shared" ca="1" si="12"/>
        <v>1.5397260273972602</v>
      </c>
    </row>
    <row r="813" spans="1:7" x14ac:dyDescent="0.35">
      <c r="A813" s="8">
        <v>500480</v>
      </c>
      <c r="B813" s="8" t="s">
        <v>2077</v>
      </c>
      <c r="C813" s="8" t="s">
        <v>2078</v>
      </c>
      <c r="D813" s="8" t="s">
        <v>1908</v>
      </c>
      <c r="E813" s="8" t="s">
        <v>2079</v>
      </c>
      <c r="F813" s="9">
        <v>43283</v>
      </c>
      <c r="G813" s="10">
        <f t="shared" ca="1" si="12"/>
        <v>7.4273972602739722</v>
      </c>
    </row>
    <row r="814" spans="1:7" x14ac:dyDescent="0.35">
      <c r="A814" s="8">
        <v>231</v>
      </c>
      <c r="B814" s="8" t="s">
        <v>2080</v>
      </c>
      <c r="C814" s="8" t="s">
        <v>2081</v>
      </c>
      <c r="D814" s="8" t="s">
        <v>1908</v>
      </c>
      <c r="E814" s="8" t="s">
        <v>2082</v>
      </c>
      <c r="F814" s="9">
        <v>39097</v>
      </c>
      <c r="G814" s="10">
        <f t="shared" ca="1" si="12"/>
        <v>18.895890410958906</v>
      </c>
    </row>
    <row r="815" spans="1:7" x14ac:dyDescent="0.35">
      <c r="A815" s="8">
        <v>88</v>
      </c>
      <c r="B815" s="8" t="s">
        <v>2083</v>
      </c>
      <c r="C815" s="8" t="s">
        <v>2084</v>
      </c>
      <c r="D815" s="8" t="s">
        <v>1908</v>
      </c>
      <c r="E815" s="8" t="s">
        <v>2085</v>
      </c>
      <c r="F815" s="9">
        <v>36586</v>
      </c>
      <c r="G815" s="10">
        <f t="shared" ca="1" si="12"/>
        <v>25.775342465753425</v>
      </c>
    </row>
    <row r="816" spans="1:7" x14ac:dyDescent="0.35">
      <c r="A816" s="8">
        <v>502109</v>
      </c>
      <c r="B816" s="8" t="s">
        <v>2086</v>
      </c>
      <c r="C816" s="8" t="s">
        <v>2087</v>
      </c>
      <c r="D816" s="8" t="s">
        <v>1908</v>
      </c>
      <c r="E816" s="8" t="s">
        <v>2088</v>
      </c>
      <c r="F816" s="9">
        <v>45692</v>
      </c>
      <c r="G816" s="10">
        <f t="shared" ca="1" si="12"/>
        <v>0.82739726027397265</v>
      </c>
    </row>
    <row r="817" spans="1:7" x14ac:dyDescent="0.35">
      <c r="A817" s="8">
        <v>501389</v>
      </c>
      <c r="B817" s="8" t="s">
        <v>2089</v>
      </c>
      <c r="C817" s="8" t="s">
        <v>2090</v>
      </c>
      <c r="D817" s="8" t="s">
        <v>1908</v>
      </c>
      <c r="E817" s="8" t="s">
        <v>2091</v>
      </c>
      <c r="F817" s="9">
        <v>44697</v>
      </c>
      <c r="G817" s="10">
        <f t="shared" ca="1" si="12"/>
        <v>3.5534246575342467</v>
      </c>
    </row>
    <row r="818" spans="1:7" x14ac:dyDescent="0.35">
      <c r="A818" s="8">
        <v>501907</v>
      </c>
      <c r="B818" s="8" t="s">
        <v>2092</v>
      </c>
      <c r="C818" s="8" t="s">
        <v>2093</v>
      </c>
      <c r="D818" s="8" t="s">
        <v>1908</v>
      </c>
      <c r="E818" s="8" t="s">
        <v>2094</v>
      </c>
      <c r="F818" s="9">
        <v>45489</v>
      </c>
      <c r="G818" s="10">
        <f t="shared" ca="1" si="12"/>
        <v>1.3835616438356164</v>
      </c>
    </row>
    <row r="819" spans="1:7" x14ac:dyDescent="0.35">
      <c r="A819" s="8">
        <v>101551</v>
      </c>
      <c r="B819" s="8" t="s">
        <v>2095</v>
      </c>
      <c r="C819" s="8" t="s">
        <v>2096</v>
      </c>
      <c r="D819" s="8" t="s">
        <v>1908</v>
      </c>
      <c r="E819" s="8" t="s">
        <v>2097</v>
      </c>
      <c r="F819" s="9">
        <v>42430</v>
      </c>
      <c r="G819" s="10">
        <f t="shared" ca="1" si="12"/>
        <v>9.7643835616438359</v>
      </c>
    </row>
    <row r="820" spans="1:7" x14ac:dyDescent="0.35">
      <c r="A820" s="8">
        <v>502208</v>
      </c>
      <c r="B820" s="8" t="s">
        <v>2098</v>
      </c>
      <c r="C820" s="8" t="s">
        <v>2099</v>
      </c>
      <c r="D820" s="8" t="s">
        <v>1908</v>
      </c>
      <c r="E820" s="8" t="s">
        <v>2100</v>
      </c>
      <c r="F820" s="9">
        <v>45796</v>
      </c>
      <c r="G820" s="10">
        <f t="shared" ca="1" si="12"/>
        <v>0.54246575342465753</v>
      </c>
    </row>
    <row r="821" spans="1:7" x14ac:dyDescent="0.35">
      <c r="A821" s="8">
        <v>501650</v>
      </c>
      <c r="B821" s="8" t="s">
        <v>2101</v>
      </c>
      <c r="C821" s="8" t="s">
        <v>2102</v>
      </c>
      <c r="D821" s="8" t="s">
        <v>1908</v>
      </c>
      <c r="E821" s="8" t="s">
        <v>2103</v>
      </c>
      <c r="F821" s="9">
        <v>45139</v>
      </c>
      <c r="G821" s="10">
        <f t="shared" ca="1" si="12"/>
        <v>2.3424657534246576</v>
      </c>
    </row>
    <row r="822" spans="1:7" x14ac:dyDescent="0.35">
      <c r="A822" s="8">
        <v>501877</v>
      </c>
      <c r="B822" s="8" t="s">
        <v>2104</v>
      </c>
      <c r="C822" s="8" t="s">
        <v>2102</v>
      </c>
      <c r="D822" s="8" t="s">
        <v>1908</v>
      </c>
      <c r="E822" s="8" t="s">
        <v>2105</v>
      </c>
      <c r="F822" s="9">
        <v>45460</v>
      </c>
      <c r="G822" s="10">
        <f t="shared" ca="1" si="12"/>
        <v>1.463013698630137</v>
      </c>
    </row>
    <row r="823" spans="1:7" x14ac:dyDescent="0.35">
      <c r="A823" s="8">
        <v>101328</v>
      </c>
      <c r="B823" s="8" t="s">
        <v>2106</v>
      </c>
      <c r="C823" s="8" t="s">
        <v>2107</v>
      </c>
      <c r="D823" s="8" t="s">
        <v>1908</v>
      </c>
      <c r="E823" s="8" t="s">
        <v>2108</v>
      </c>
      <c r="F823" s="9">
        <v>42128</v>
      </c>
      <c r="G823" s="10">
        <f t="shared" ca="1" si="12"/>
        <v>10.591780821917808</v>
      </c>
    </row>
    <row r="824" spans="1:7" x14ac:dyDescent="0.35">
      <c r="A824" s="8">
        <v>501282</v>
      </c>
      <c r="B824" s="8" t="s">
        <v>2109</v>
      </c>
      <c r="C824" s="8" t="s">
        <v>2110</v>
      </c>
      <c r="D824" s="8" t="s">
        <v>1908</v>
      </c>
      <c r="E824" s="8" t="s">
        <v>2111</v>
      </c>
      <c r="F824" s="9">
        <v>44531</v>
      </c>
      <c r="G824" s="10">
        <f t="shared" ca="1" si="12"/>
        <v>4.0082191780821921</v>
      </c>
    </row>
    <row r="825" spans="1:7" x14ac:dyDescent="0.35">
      <c r="A825" s="8">
        <v>100256</v>
      </c>
      <c r="B825" s="8" t="s">
        <v>2112</v>
      </c>
      <c r="C825" s="8" t="s">
        <v>2102</v>
      </c>
      <c r="D825" s="8" t="s">
        <v>1908</v>
      </c>
      <c r="E825" s="8" t="s">
        <v>2113</v>
      </c>
      <c r="F825" s="9">
        <v>44697</v>
      </c>
      <c r="G825" s="10">
        <f t="shared" ca="1" si="12"/>
        <v>3.5534246575342467</v>
      </c>
    </row>
    <row r="826" spans="1:7" x14ac:dyDescent="0.35">
      <c r="A826" s="8">
        <v>501395</v>
      </c>
      <c r="B826" s="8" t="s">
        <v>2114</v>
      </c>
      <c r="C826" s="8" t="s">
        <v>2115</v>
      </c>
      <c r="D826" s="8" t="s">
        <v>1908</v>
      </c>
      <c r="E826" s="8" t="s">
        <v>2116</v>
      </c>
      <c r="F826" s="9">
        <v>44697</v>
      </c>
      <c r="G826" s="10">
        <f t="shared" ca="1" si="12"/>
        <v>3.5534246575342467</v>
      </c>
    </row>
    <row r="827" spans="1:7" x14ac:dyDescent="0.35">
      <c r="A827" s="8">
        <v>501868</v>
      </c>
      <c r="B827" s="8" t="s">
        <v>2117</v>
      </c>
      <c r="C827" s="8" t="s">
        <v>2118</v>
      </c>
      <c r="D827" s="8" t="s">
        <v>1908</v>
      </c>
      <c r="E827" s="8" t="s">
        <v>2119</v>
      </c>
      <c r="F827" s="9">
        <v>45453</v>
      </c>
      <c r="G827" s="10">
        <f t="shared" ca="1" si="12"/>
        <v>1.4821917808219178</v>
      </c>
    </row>
    <row r="828" spans="1:7" x14ac:dyDescent="0.35">
      <c r="A828" s="5">
        <v>502533</v>
      </c>
      <c r="B828" s="5" t="s">
        <v>2120</v>
      </c>
      <c r="C828" s="5" t="s">
        <v>2107</v>
      </c>
      <c r="D828" s="5" t="s">
        <v>1908</v>
      </c>
      <c r="E828" s="5" t="s">
        <v>2121</v>
      </c>
      <c r="F828" s="6">
        <v>45950</v>
      </c>
      <c r="G828" s="7">
        <f t="shared" ca="1" si="12"/>
        <v>0.12054794520547946</v>
      </c>
    </row>
    <row r="829" spans="1:7" x14ac:dyDescent="0.35">
      <c r="A829" s="8">
        <v>500319</v>
      </c>
      <c r="B829" s="8" t="s">
        <v>2122</v>
      </c>
      <c r="C829" s="8" t="s">
        <v>2123</v>
      </c>
      <c r="D829" s="8" t="s">
        <v>1908</v>
      </c>
      <c r="E829" s="8" t="s">
        <v>2124</v>
      </c>
      <c r="F829" s="9">
        <v>43073</v>
      </c>
      <c r="G829" s="10">
        <f t="shared" ca="1" si="12"/>
        <v>8.0027397260273965</v>
      </c>
    </row>
    <row r="830" spans="1:7" x14ac:dyDescent="0.35">
      <c r="A830" s="8">
        <v>501254</v>
      </c>
      <c r="B830" s="8" t="s">
        <v>2125</v>
      </c>
      <c r="C830" s="8" t="s">
        <v>2115</v>
      </c>
      <c r="D830" s="8" t="s">
        <v>1908</v>
      </c>
      <c r="E830" s="8" t="s">
        <v>2126</v>
      </c>
      <c r="F830" s="9">
        <v>44459</v>
      </c>
      <c r="G830" s="10">
        <f t="shared" ca="1" si="12"/>
        <v>4.2054794520547949</v>
      </c>
    </row>
    <row r="831" spans="1:7" x14ac:dyDescent="0.35">
      <c r="A831" s="8">
        <v>501668</v>
      </c>
      <c r="B831" s="8" t="s">
        <v>2127</v>
      </c>
      <c r="C831" s="8" t="s">
        <v>2128</v>
      </c>
      <c r="D831" s="8" t="s">
        <v>1908</v>
      </c>
      <c r="E831" s="8" t="s">
        <v>2129</v>
      </c>
      <c r="F831" s="9">
        <v>45154</v>
      </c>
      <c r="G831" s="10">
        <f t="shared" ca="1" si="12"/>
        <v>2.3013698630136985</v>
      </c>
    </row>
    <row r="832" spans="1:7" x14ac:dyDescent="0.35">
      <c r="A832" s="8">
        <v>501964</v>
      </c>
      <c r="B832" s="8" t="s">
        <v>2130</v>
      </c>
      <c r="C832" s="8" t="s">
        <v>2128</v>
      </c>
      <c r="D832" s="8" t="s">
        <v>1908</v>
      </c>
      <c r="E832" s="8" t="s">
        <v>2131</v>
      </c>
      <c r="F832" s="9">
        <v>45537</v>
      </c>
      <c r="G832" s="10">
        <f t="shared" ca="1" si="12"/>
        <v>1.252054794520548</v>
      </c>
    </row>
    <row r="833" spans="1:7" x14ac:dyDescent="0.35">
      <c r="A833" s="8">
        <v>101320</v>
      </c>
      <c r="B833" s="8" t="s">
        <v>2132</v>
      </c>
      <c r="C833" s="8" t="s">
        <v>2128</v>
      </c>
      <c r="D833" s="8" t="s">
        <v>1908</v>
      </c>
      <c r="E833" s="8" t="s">
        <v>2133</v>
      </c>
      <c r="F833" s="9">
        <v>42110</v>
      </c>
      <c r="G833" s="10">
        <f t="shared" ca="1" si="12"/>
        <v>10.641095890410959</v>
      </c>
    </row>
    <row r="834" spans="1:7" x14ac:dyDescent="0.35">
      <c r="A834" s="8">
        <v>127</v>
      </c>
      <c r="B834" s="8" t="s">
        <v>2134</v>
      </c>
      <c r="C834" s="8" t="s">
        <v>2135</v>
      </c>
      <c r="D834" s="8" t="s">
        <v>1908</v>
      </c>
      <c r="E834" s="8" t="s">
        <v>2136</v>
      </c>
      <c r="F834" s="9">
        <v>37712</v>
      </c>
      <c r="G834" s="10">
        <f t="shared" ca="1" si="12"/>
        <v>22.69041095890411</v>
      </c>
    </row>
    <row r="835" spans="1:7" x14ac:dyDescent="0.35">
      <c r="A835" s="8">
        <v>502205</v>
      </c>
      <c r="B835" s="8" t="s">
        <v>2137</v>
      </c>
      <c r="C835" s="8" t="s">
        <v>2138</v>
      </c>
      <c r="D835" s="8" t="s">
        <v>1908</v>
      </c>
      <c r="E835" s="8" t="s">
        <v>2139</v>
      </c>
      <c r="F835" s="9">
        <v>45810</v>
      </c>
      <c r="G835" s="10">
        <f t="shared" ca="1" si="12"/>
        <v>0.50410958904109593</v>
      </c>
    </row>
    <row r="836" spans="1:7" x14ac:dyDescent="0.35">
      <c r="A836" s="8">
        <v>56</v>
      </c>
      <c r="B836" s="8" t="s">
        <v>2140</v>
      </c>
      <c r="C836" s="8" t="s">
        <v>2128</v>
      </c>
      <c r="D836" s="8" t="s">
        <v>1908</v>
      </c>
      <c r="E836" s="8" t="s">
        <v>2141</v>
      </c>
      <c r="F836" s="9">
        <v>34289</v>
      </c>
      <c r="G836" s="10">
        <f t="shared" ca="1" si="12"/>
        <v>32.06849315068493</v>
      </c>
    </row>
    <row r="837" spans="1:7" x14ac:dyDescent="0.35">
      <c r="A837" s="8">
        <v>501813</v>
      </c>
      <c r="B837" s="8" t="s">
        <v>2142</v>
      </c>
      <c r="C837" s="8" t="s">
        <v>2115</v>
      </c>
      <c r="D837" s="8" t="s">
        <v>1908</v>
      </c>
      <c r="E837" s="8" t="s">
        <v>2143</v>
      </c>
      <c r="F837" s="9">
        <v>45383</v>
      </c>
      <c r="G837" s="10">
        <f t="shared" ref="G837:G900" ca="1" si="13">($G$1-F837)/365</f>
        <v>1.6739726027397259</v>
      </c>
    </row>
    <row r="838" spans="1:7" x14ac:dyDescent="0.35">
      <c r="A838" s="8">
        <v>101704</v>
      </c>
      <c r="B838" s="8" t="s">
        <v>2144</v>
      </c>
      <c r="C838" s="8" t="s">
        <v>2145</v>
      </c>
      <c r="D838" s="8" t="s">
        <v>1908</v>
      </c>
      <c r="E838" s="8" t="s">
        <v>2146</v>
      </c>
      <c r="F838" s="9">
        <v>42632</v>
      </c>
      <c r="G838" s="10">
        <f t="shared" ca="1" si="13"/>
        <v>9.2109589041095887</v>
      </c>
    </row>
    <row r="839" spans="1:7" x14ac:dyDescent="0.35">
      <c r="A839" s="8">
        <v>500208</v>
      </c>
      <c r="B839" s="8" t="s">
        <v>2147</v>
      </c>
      <c r="C839" s="8" t="s">
        <v>2148</v>
      </c>
      <c r="D839" s="8" t="s">
        <v>1908</v>
      </c>
      <c r="E839" s="8" t="s">
        <v>2149</v>
      </c>
      <c r="F839" s="9">
        <v>41928</v>
      </c>
      <c r="G839" s="10">
        <f t="shared" ca="1" si="13"/>
        <v>11.139726027397261</v>
      </c>
    </row>
    <row r="840" spans="1:7" x14ac:dyDescent="0.35">
      <c r="A840" s="8">
        <v>501561</v>
      </c>
      <c r="B840" s="8" t="s">
        <v>2150</v>
      </c>
      <c r="C840" s="8" t="s">
        <v>2107</v>
      </c>
      <c r="D840" s="8" t="s">
        <v>1908</v>
      </c>
      <c r="E840" s="8" t="s">
        <v>2151</v>
      </c>
      <c r="F840" s="9">
        <v>45001</v>
      </c>
      <c r="G840" s="10">
        <f t="shared" ca="1" si="13"/>
        <v>2.7205479452054795</v>
      </c>
    </row>
    <row r="841" spans="1:7" x14ac:dyDescent="0.35">
      <c r="A841" s="8">
        <v>501889</v>
      </c>
      <c r="B841" s="8" t="s">
        <v>2152</v>
      </c>
      <c r="C841" s="8" t="s">
        <v>2153</v>
      </c>
      <c r="D841" s="8" t="s">
        <v>1908</v>
      </c>
      <c r="E841" s="8" t="s">
        <v>2154</v>
      </c>
      <c r="F841" s="9">
        <v>45474</v>
      </c>
      <c r="G841" s="10">
        <f t="shared" ca="1" si="13"/>
        <v>1.4246575342465753</v>
      </c>
    </row>
    <row r="842" spans="1:7" x14ac:dyDescent="0.35">
      <c r="A842" s="8">
        <v>501864</v>
      </c>
      <c r="B842" s="8" t="s">
        <v>2155</v>
      </c>
      <c r="C842" s="8" t="s">
        <v>2156</v>
      </c>
      <c r="D842" s="8" t="s">
        <v>1908</v>
      </c>
      <c r="E842" s="8" t="s">
        <v>2157</v>
      </c>
      <c r="F842" s="9">
        <v>45446</v>
      </c>
      <c r="G842" s="10">
        <f t="shared" ca="1" si="13"/>
        <v>1.5013698630136987</v>
      </c>
    </row>
    <row r="843" spans="1:7" x14ac:dyDescent="0.35">
      <c r="A843" s="8">
        <v>501258</v>
      </c>
      <c r="B843" s="8" t="s">
        <v>2158</v>
      </c>
      <c r="C843" s="8" t="s">
        <v>2159</v>
      </c>
      <c r="D843" s="8" t="s">
        <v>1908</v>
      </c>
      <c r="E843" s="8" t="s">
        <v>2160</v>
      </c>
      <c r="F843" s="9">
        <v>44473</v>
      </c>
      <c r="G843" s="10">
        <f t="shared" ca="1" si="13"/>
        <v>4.1671232876712327</v>
      </c>
    </row>
    <row r="844" spans="1:7" x14ac:dyDescent="0.35">
      <c r="A844" s="8">
        <v>502181</v>
      </c>
      <c r="B844" s="8" t="s">
        <v>2161</v>
      </c>
      <c r="C844" s="8" t="s">
        <v>2162</v>
      </c>
      <c r="D844" s="8" t="s">
        <v>1908</v>
      </c>
      <c r="E844" s="8" t="s">
        <v>2163</v>
      </c>
      <c r="F844" s="9">
        <v>45768</v>
      </c>
      <c r="G844" s="10">
        <f t="shared" ca="1" si="13"/>
        <v>0.61917808219178083</v>
      </c>
    </row>
    <row r="845" spans="1:7" x14ac:dyDescent="0.35">
      <c r="A845" s="8">
        <v>501329</v>
      </c>
      <c r="B845" s="8" t="s">
        <v>2164</v>
      </c>
      <c r="C845" s="8" t="s">
        <v>2165</v>
      </c>
      <c r="D845" s="8" t="s">
        <v>1908</v>
      </c>
      <c r="E845" s="8" t="s">
        <v>2166</v>
      </c>
      <c r="F845" s="9">
        <v>44636</v>
      </c>
      <c r="G845" s="10">
        <f t="shared" ca="1" si="13"/>
        <v>3.7205479452054795</v>
      </c>
    </row>
    <row r="846" spans="1:7" x14ac:dyDescent="0.35">
      <c r="A846" s="5">
        <v>502510</v>
      </c>
      <c r="B846" s="5" t="s">
        <v>2167</v>
      </c>
      <c r="C846" s="5" t="s">
        <v>2162</v>
      </c>
      <c r="D846" s="5" t="s">
        <v>1908</v>
      </c>
      <c r="E846" s="5" t="s">
        <v>2168</v>
      </c>
      <c r="F846" s="6">
        <v>45936</v>
      </c>
      <c r="G846" s="7">
        <f t="shared" ca="1" si="13"/>
        <v>0.15890410958904111</v>
      </c>
    </row>
    <row r="847" spans="1:7" x14ac:dyDescent="0.35">
      <c r="A847" s="8">
        <v>501853</v>
      </c>
      <c r="B847" s="8" t="s">
        <v>2169</v>
      </c>
      <c r="C847" s="8" t="s">
        <v>2170</v>
      </c>
      <c r="D847" s="8" t="s">
        <v>1908</v>
      </c>
      <c r="E847" s="8" t="s">
        <v>2171</v>
      </c>
      <c r="F847" s="9">
        <v>45439</v>
      </c>
      <c r="G847" s="10">
        <f t="shared" ca="1" si="13"/>
        <v>1.5205479452054795</v>
      </c>
    </row>
    <row r="848" spans="1:7" x14ac:dyDescent="0.35">
      <c r="A848" s="8">
        <v>501930</v>
      </c>
      <c r="B848" s="8" t="s">
        <v>2172</v>
      </c>
      <c r="C848" s="8" t="s">
        <v>2173</v>
      </c>
      <c r="D848" s="8" t="s">
        <v>1908</v>
      </c>
      <c r="E848" s="8" t="s">
        <v>2174</v>
      </c>
      <c r="F848" s="9">
        <v>45509</v>
      </c>
      <c r="G848" s="10">
        <f t="shared" ca="1" si="13"/>
        <v>1.3287671232876712</v>
      </c>
    </row>
    <row r="849" spans="1:7" x14ac:dyDescent="0.35">
      <c r="A849" s="8">
        <v>501772</v>
      </c>
      <c r="B849" s="8" t="s">
        <v>2175</v>
      </c>
      <c r="C849" s="8" t="s">
        <v>2176</v>
      </c>
      <c r="D849" s="8" t="s">
        <v>2177</v>
      </c>
      <c r="E849" s="8" t="s">
        <v>2178</v>
      </c>
      <c r="F849" s="9">
        <v>45334</v>
      </c>
      <c r="G849" s="10">
        <f t="shared" ca="1" si="13"/>
        <v>1.8082191780821917</v>
      </c>
    </row>
    <row r="850" spans="1:7" x14ac:dyDescent="0.35">
      <c r="A850" s="8">
        <v>1413</v>
      </c>
      <c r="B850" s="8" t="s">
        <v>2179</v>
      </c>
      <c r="C850" s="8" t="s">
        <v>2180</v>
      </c>
      <c r="D850" s="8" t="s">
        <v>2177</v>
      </c>
      <c r="E850" s="8" t="s">
        <v>2181</v>
      </c>
      <c r="F850" s="9">
        <v>41001</v>
      </c>
      <c r="G850" s="10">
        <f t="shared" ca="1" si="13"/>
        <v>13.67945205479452</v>
      </c>
    </row>
    <row r="851" spans="1:7" x14ac:dyDescent="0.35">
      <c r="A851" s="8">
        <v>1825</v>
      </c>
      <c r="B851" s="8" t="s">
        <v>2182</v>
      </c>
      <c r="C851" s="8" t="s">
        <v>2183</v>
      </c>
      <c r="D851" s="8" t="s">
        <v>2177</v>
      </c>
      <c r="E851" s="8" t="s">
        <v>2184</v>
      </c>
      <c r="F851" s="9">
        <v>42871</v>
      </c>
      <c r="G851" s="10">
        <f t="shared" ca="1" si="13"/>
        <v>8.5561643835616437</v>
      </c>
    </row>
    <row r="852" spans="1:7" x14ac:dyDescent="0.35">
      <c r="A852" s="8">
        <v>500671</v>
      </c>
      <c r="B852" s="8" t="s">
        <v>2185</v>
      </c>
      <c r="C852" s="8" t="s">
        <v>2180</v>
      </c>
      <c r="D852" s="8" t="s">
        <v>2177</v>
      </c>
      <c r="E852" s="8" t="s">
        <v>2186</v>
      </c>
      <c r="F852" s="9">
        <v>43571</v>
      </c>
      <c r="G852" s="10">
        <f t="shared" ca="1" si="13"/>
        <v>6.6383561643835618</v>
      </c>
    </row>
    <row r="853" spans="1:7" x14ac:dyDescent="0.35">
      <c r="A853" s="8">
        <v>501639</v>
      </c>
      <c r="B853" s="8" t="s">
        <v>2187</v>
      </c>
      <c r="C853" s="8" t="s">
        <v>2188</v>
      </c>
      <c r="D853" s="8" t="s">
        <v>2177</v>
      </c>
      <c r="E853" s="8" t="s">
        <v>2189</v>
      </c>
      <c r="F853" s="9">
        <v>45124</v>
      </c>
      <c r="G853" s="10">
        <f t="shared" ca="1" si="13"/>
        <v>2.3835616438356166</v>
      </c>
    </row>
    <row r="854" spans="1:7" x14ac:dyDescent="0.35">
      <c r="A854" s="8">
        <v>1221</v>
      </c>
      <c r="B854" s="8" t="s">
        <v>2190</v>
      </c>
      <c r="C854" s="8" t="s">
        <v>2191</v>
      </c>
      <c r="D854" s="8" t="s">
        <v>2177</v>
      </c>
      <c r="E854" s="8" t="s">
        <v>2192</v>
      </c>
      <c r="F854" s="9">
        <v>45642</v>
      </c>
      <c r="G854" s="10">
        <f t="shared" ca="1" si="13"/>
        <v>0.96438356164383565</v>
      </c>
    </row>
    <row r="855" spans="1:7" x14ac:dyDescent="0.35">
      <c r="A855" s="8">
        <v>501524</v>
      </c>
      <c r="B855" s="8" t="s">
        <v>2193</v>
      </c>
      <c r="C855" s="8" t="s">
        <v>2194</v>
      </c>
      <c r="D855" s="8" t="s">
        <v>2177</v>
      </c>
      <c r="E855" s="8" t="s">
        <v>2195</v>
      </c>
      <c r="F855" s="9">
        <v>44928</v>
      </c>
      <c r="G855" s="10">
        <f t="shared" ca="1" si="13"/>
        <v>2.9205479452054797</v>
      </c>
    </row>
    <row r="856" spans="1:7" x14ac:dyDescent="0.35">
      <c r="A856" s="8">
        <v>501616</v>
      </c>
      <c r="B856" s="8" t="s">
        <v>2196</v>
      </c>
      <c r="C856" s="8" t="s">
        <v>2197</v>
      </c>
      <c r="D856" s="8" t="s">
        <v>2177</v>
      </c>
      <c r="E856" s="8" t="s">
        <v>2198</v>
      </c>
      <c r="F856" s="9">
        <v>45082</v>
      </c>
      <c r="G856" s="10">
        <f t="shared" ca="1" si="13"/>
        <v>2.4986301369863013</v>
      </c>
    </row>
    <row r="857" spans="1:7" x14ac:dyDescent="0.35">
      <c r="A857" s="8">
        <v>501647</v>
      </c>
      <c r="B857" s="8" t="s">
        <v>2199</v>
      </c>
      <c r="C857" s="8" t="s">
        <v>2200</v>
      </c>
      <c r="D857" s="8" t="s">
        <v>2177</v>
      </c>
      <c r="E857" s="8" t="s">
        <v>2201</v>
      </c>
      <c r="F857" s="9">
        <v>45131</v>
      </c>
      <c r="G857" s="10">
        <f t="shared" ca="1" si="13"/>
        <v>2.3643835616438356</v>
      </c>
    </row>
    <row r="858" spans="1:7" x14ac:dyDescent="0.35">
      <c r="A858" s="8">
        <v>101255</v>
      </c>
      <c r="B858" s="8" t="s">
        <v>2202</v>
      </c>
      <c r="C858" s="8" t="s">
        <v>2203</v>
      </c>
      <c r="D858" s="8" t="s">
        <v>2177</v>
      </c>
      <c r="E858" s="8" t="s">
        <v>2204</v>
      </c>
      <c r="F858" s="9">
        <v>42023</v>
      </c>
      <c r="G858" s="10">
        <f t="shared" ca="1" si="13"/>
        <v>10.87945205479452</v>
      </c>
    </row>
    <row r="859" spans="1:7" x14ac:dyDescent="0.35">
      <c r="A859" s="8">
        <v>500620</v>
      </c>
      <c r="B859" s="8" t="s">
        <v>2205</v>
      </c>
      <c r="C859" s="8" t="s">
        <v>2206</v>
      </c>
      <c r="D859" s="8" t="s">
        <v>2177</v>
      </c>
      <c r="E859" s="8" t="s">
        <v>2207</v>
      </c>
      <c r="F859" s="9">
        <v>43507</v>
      </c>
      <c r="G859" s="10">
        <f t="shared" ca="1" si="13"/>
        <v>6.8136986301369866</v>
      </c>
    </row>
    <row r="860" spans="1:7" x14ac:dyDescent="0.35">
      <c r="A860" s="8">
        <v>501919</v>
      </c>
      <c r="B860" s="8" t="s">
        <v>2208</v>
      </c>
      <c r="C860" s="8" t="s">
        <v>2209</v>
      </c>
      <c r="D860" s="8" t="s">
        <v>2177</v>
      </c>
      <c r="E860" s="8" t="s">
        <v>2210</v>
      </c>
      <c r="F860" s="9">
        <v>45505</v>
      </c>
      <c r="G860" s="10">
        <f t="shared" ca="1" si="13"/>
        <v>1.3397260273972602</v>
      </c>
    </row>
    <row r="861" spans="1:7" x14ac:dyDescent="0.35">
      <c r="A861" s="8">
        <v>501952</v>
      </c>
      <c r="B861" s="8" t="s">
        <v>2211</v>
      </c>
      <c r="C861" s="8" t="s">
        <v>2212</v>
      </c>
      <c r="D861" s="8" t="s">
        <v>2177</v>
      </c>
      <c r="E861" s="8" t="s">
        <v>2213</v>
      </c>
      <c r="F861" s="9">
        <v>45537</v>
      </c>
      <c r="G861" s="10">
        <f t="shared" ca="1" si="13"/>
        <v>1.252054794520548</v>
      </c>
    </row>
    <row r="862" spans="1:7" x14ac:dyDescent="0.35">
      <c r="A862" s="8">
        <v>501238</v>
      </c>
      <c r="B862" s="8" t="s">
        <v>2214</v>
      </c>
      <c r="C862" s="8" t="s">
        <v>2215</v>
      </c>
      <c r="D862" s="8" t="s">
        <v>2177</v>
      </c>
      <c r="E862" s="8" t="s">
        <v>2216</v>
      </c>
      <c r="F862" s="9">
        <v>44410</v>
      </c>
      <c r="G862" s="10">
        <f t="shared" ca="1" si="13"/>
        <v>4.3397260273972602</v>
      </c>
    </row>
    <row r="863" spans="1:7" x14ac:dyDescent="0.35">
      <c r="A863" s="8">
        <v>501319</v>
      </c>
      <c r="B863" s="8" t="s">
        <v>2217</v>
      </c>
      <c r="C863" s="8" t="s">
        <v>2218</v>
      </c>
      <c r="D863" s="8" t="s">
        <v>2177</v>
      </c>
      <c r="E863" s="8" t="s">
        <v>2219</v>
      </c>
      <c r="F863" s="9">
        <v>44621</v>
      </c>
      <c r="G863" s="10">
        <f t="shared" ca="1" si="13"/>
        <v>3.7616438356164386</v>
      </c>
    </row>
    <row r="864" spans="1:7" x14ac:dyDescent="0.35">
      <c r="A864" s="8">
        <v>501314</v>
      </c>
      <c r="B864" s="8" t="s">
        <v>2220</v>
      </c>
      <c r="C864" s="8" t="s">
        <v>2221</v>
      </c>
      <c r="D864" s="8" t="s">
        <v>2177</v>
      </c>
      <c r="E864" s="8" t="s">
        <v>2222</v>
      </c>
      <c r="F864" s="9">
        <v>44613</v>
      </c>
      <c r="G864" s="10">
        <f t="shared" ca="1" si="13"/>
        <v>3.7835616438356166</v>
      </c>
    </row>
    <row r="865" spans="1:7" x14ac:dyDescent="0.35">
      <c r="A865" s="8">
        <v>101400</v>
      </c>
      <c r="B865" s="8" t="s">
        <v>2223</v>
      </c>
      <c r="C865" s="8" t="s">
        <v>2224</v>
      </c>
      <c r="D865" s="8" t="s">
        <v>2177</v>
      </c>
      <c r="E865" s="8" t="s">
        <v>2225</v>
      </c>
      <c r="F865" s="9">
        <v>42233</v>
      </c>
      <c r="G865" s="10">
        <f t="shared" ca="1" si="13"/>
        <v>10.304109589041095</v>
      </c>
    </row>
    <row r="866" spans="1:7" x14ac:dyDescent="0.35">
      <c r="A866" s="8">
        <v>501209</v>
      </c>
      <c r="B866" s="8" t="s">
        <v>2226</v>
      </c>
      <c r="C866" s="8" t="s">
        <v>2227</v>
      </c>
      <c r="D866" s="8" t="s">
        <v>2177</v>
      </c>
      <c r="E866" s="8" t="s">
        <v>2228</v>
      </c>
      <c r="F866" s="9">
        <v>44348</v>
      </c>
      <c r="G866" s="10">
        <f t="shared" ca="1" si="13"/>
        <v>4.5095890410958903</v>
      </c>
    </row>
    <row r="867" spans="1:7" x14ac:dyDescent="0.35">
      <c r="A867" s="8">
        <v>100719</v>
      </c>
      <c r="B867" s="8" t="s">
        <v>2229</v>
      </c>
      <c r="C867" s="8" t="s">
        <v>2230</v>
      </c>
      <c r="D867" s="8" t="s">
        <v>2177</v>
      </c>
      <c r="E867" s="8" t="s">
        <v>2231</v>
      </c>
      <c r="F867" s="9">
        <v>41122</v>
      </c>
      <c r="G867" s="10">
        <f t="shared" ca="1" si="13"/>
        <v>13.347945205479451</v>
      </c>
    </row>
    <row r="868" spans="1:7" x14ac:dyDescent="0.35">
      <c r="A868" s="8">
        <v>100972</v>
      </c>
      <c r="B868" s="8" t="s">
        <v>2232</v>
      </c>
      <c r="C868" s="8" t="s">
        <v>2233</v>
      </c>
      <c r="D868" s="8" t="s">
        <v>2177</v>
      </c>
      <c r="E868" s="8" t="s">
        <v>2234</v>
      </c>
      <c r="F868" s="9">
        <v>41582</v>
      </c>
      <c r="G868" s="10">
        <f t="shared" ca="1" si="13"/>
        <v>12.087671232876712</v>
      </c>
    </row>
    <row r="869" spans="1:7" x14ac:dyDescent="0.35">
      <c r="A869" s="8">
        <v>500333</v>
      </c>
      <c r="B869" s="8" t="s">
        <v>2235</v>
      </c>
      <c r="C869" s="8" t="s">
        <v>2236</v>
      </c>
      <c r="D869" s="8" t="s">
        <v>2177</v>
      </c>
      <c r="E869" s="8" t="s">
        <v>2237</v>
      </c>
      <c r="F869" s="9">
        <v>43073</v>
      </c>
      <c r="G869" s="10">
        <f t="shared" ca="1" si="13"/>
        <v>8.0027397260273965</v>
      </c>
    </row>
    <row r="870" spans="1:7" x14ac:dyDescent="0.35">
      <c r="A870" s="8">
        <v>501102</v>
      </c>
      <c r="B870" s="8" t="s">
        <v>2238</v>
      </c>
      <c r="C870" s="8" t="s">
        <v>2239</v>
      </c>
      <c r="D870" s="8" t="s">
        <v>2177</v>
      </c>
      <c r="E870" s="8" t="s">
        <v>2240</v>
      </c>
      <c r="F870" s="9">
        <v>44305</v>
      </c>
      <c r="G870" s="10">
        <f t="shared" ca="1" si="13"/>
        <v>4.6273972602739724</v>
      </c>
    </row>
    <row r="871" spans="1:7" x14ac:dyDescent="0.35">
      <c r="A871" s="8">
        <v>501850</v>
      </c>
      <c r="B871" s="8" t="s">
        <v>2241</v>
      </c>
      <c r="C871" s="8" t="s">
        <v>2242</v>
      </c>
      <c r="D871" s="8" t="s">
        <v>2177</v>
      </c>
      <c r="E871" s="8" t="s">
        <v>2243</v>
      </c>
      <c r="F871" s="9">
        <v>45432</v>
      </c>
      <c r="G871" s="10">
        <f t="shared" ca="1" si="13"/>
        <v>1.5397260273972602</v>
      </c>
    </row>
    <row r="872" spans="1:7" x14ac:dyDescent="0.35">
      <c r="A872" s="8">
        <v>501265</v>
      </c>
      <c r="B872" s="8" t="s">
        <v>2244</v>
      </c>
      <c r="C872" s="8" t="s">
        <v>2245</v>
      </c>
      <c r="D872" s="8" t="s">
        <v>2177</v>
      </c>
      <c r="E872" s="8" t="s">
        <v>2246</v>
      </c>
      <c r="F872" s="9">
        <v>44487</v>
      </c>
      <c r="G872" s="10">
        <f t="shared" ca="1" si="13"/>
        <v>4.1287671232876715</v>
      </c>
    </row>
    <row r="873" spans="1:7" x14ac:dyDescent="0.35">
      <c r="A873" s="8">
        <v>501479</v>
      </c>
      <c r="B873" s="8" t="s">
        <v>2247</v>
      </c>
      <c r="C873" s="8" t="s">
        <v>1537</v>
      </c>
      <c r="D873" s="8" t="s">
        <v>2177</v>
      </c>
      <c r="E873" s="8" t="s">
        <v>2248</v>
      </c>
      <c r="F873" s="9">
        <v>44837</v>
      </c>
      <c r="G873" s="10">
        <f t="shared" ca="1" si="13"/>
        <v>3.1698630136986301</v>
      </c>
    </row>
    <row r="874" spans="1:7" x14ac:dyDescent="0.35">
      <c r="A874" s="8">
        <v>500680</v>
      </c>
      <c r="B874" s="8" t="s">
        <v>2249</v>
      </c>
      <c r="C874" s="8" t="s">
        <v>2250</v>
      </c>
      <c r="D874" s="8" t="s">
        <v>2177</v>
      </c>
      <c r="E874" s="8" t="s">
        <v>2251</v>
      </c>
      <c r="F874" s="9">
        <v>43571</v>
      </c>
      <c r="G874" s="10">
        <f t="shared" ca="1" si="13"/>
        <v>6.6383561643835618</v>
      </c>
    </row>
    <row r="875" spans="1:7" x14ac:dyDescent="0.35">
      <c r="A875" s="8">
        <v>501756</v>
      </c>
      <c r="B875" s="8" t="s">
        <v>2252</v>
      </c>
      <c r="C875" s="8" t="s">
        <v>2253</v>
      </c>
      <c r="D875" s="8" t="s">
        <v>2177</v>
      </c>
      <c r="E875" s="8" t="s">
        <v>2254</v>
      </c>
      <c r="F875" s="9">
        <v>45307</v>
      </c>
      <c r="G875" s="10">
        <f t="shared" ca="1" si="13"/>
        <v>1.8821917808219177</v>
      </c>
    </row>
    <row r="876" spans="1:7" x14ac:dyDescent="0.35">
      <c r="A876" s="8">
        <v>897</v>
      </c>
      <c r="B876" s="8" t="s">
        <v>2255</v>
      </c>
      <c r="C876" s="8" t="s">
        <v>2256</v>
      </c>
      <c r="D876" s="8" t="s">
        <v>2177</v>
      </c>
      <c r="E876" s="8" t="s">
        <v>2257</v>
      </c>
      <c r="F876" s="9">
        <v>39615</v>
      </c>
      <c r="G876" s="10">
        <f t="shared" ca="1" si="13"/>
        <v>17.476712328767125</v>
      </c>
    </row>
    <row r="877" spans="1:7" x14ac:dyDescent="0.35">
      <c r="A877" s="8">
        <v>51</v>
      </c>
      <c r="B877" s="8" t="s">
        <v>2258</v>
      </c>
      <c r="C877" s="8" t="s">
        <v>2259</v>
      </c>
      <c r="D877" s="8" t="s">
        <v>2177</v>
      </c>
      <c r="E877" s="8" t="s">
        <v>2260</v>
      </c>
      <c r="F877" s="9">
        <v>34016</v>
      </c>
      <c r="G877" s="10">
        <f t="shared" ca="1" si="13"/>
        <v>32.816438356164383</v>
      </c>
    </row>
    <row r="878" spans="1:7" x14ac:dyDescent="0.35">
      <c r="A878" s="8">
        <v>100125</v>
      </c>
      <c r="B878" s="8" t="s">
        <v>2261</v>
      </c>
      <c r="C878" s="8" t="s">
        <v>2262</v>
      </c>
      <c r="D878" s="8" t="s">
        <v>2177</v>
      </c>
      <c r="E878" s="8" t="s">
        <v>2263</v>
      </c>
      <c r="F878" s="9">
        <v>39980</v>
      </c>
      <c r="G878" s="10">
        <f t="shared" ca="1" si="13"/>
        <v>16.476712328767125</v>
      </c>
    </row>
    <row r="879" spans="1:7" x14ac:dyDescent="0.35">
      <c r="A879" s="8">
        <v>1937</v>
      </c>
      <c r="B879" s="8" t="s">
        <v>2264</v>
      </c>
      <c r="C879" s="8" t="s">
        <v>2265</v>
      </c>
      <c r="D879" s="8" t="s">
        <v>2177</v>
      </c>
      <c r="E879" s="8" t="s">
        <v>2266</v>
      </c>
      <c r="F879" s="9">
        <v>42996</v>
      </c>
      <c r="G879" s="10">
        <f t="shared" ca="1" si="13"/>
        <v>8.213698630136987</v>
      </c>
    </row>
    <row r="880" spans="1:7" x14ac:dyDescent="0.35">
      <c r="A880" s="8">
        <v>501938</v>
      </c>
      <c r="B880" s="8" t="s">
        <v>2267</v>
      </c>
      <c r="C880" s="8" t="s">
        <v>2268</v>
      </c>
      <c r="D880" s="8" t="s">
        <v>2177</v>
      </c>
      <c r="E880" s="8" t="s">
        <v>14</v>
      </c>
      <c r="F880" s="9">
        <v>45523</v>
      </c>
      <c r="G880" s="10">
        <f t="shared" ca="1" si="13"/>
        <v>1.2904109589041095</v>
      </c>
    </row>
    <row r="881" spans="1:7" x14ac:dyDescent="0.35">
      <c r="A881" s="8">
        <v>500767</v>
      </c>
      <c r="B881" s="8" t="s">
        <v>2269</v>
      </c>
      <c r="C881" s="8" t="s">
        <v>2270</v>
      </c>
      <c r="D881" s="8" t="s">
        <v>2177</v>
      </c>
      <c r="E881" s="8" t="s">
        <v>2271</v>
      </c>
      <c r="F881" s="9">
        <v>43696</v>
      </c>
      <c r="G881" s="10">
        <f t="shared" ca="1" si="13"/>
        <v>6.2958904109589042</v>
      </c>
    </row>
    <row r="882" spans="1:7" x14ac:dyDescent="0.35">
      <c r="A882" s="8">
        <v>101124</v>
      </c>
      <c r="B882" s="8" t="s">
        <v>2272</v>
      </c>
      <c r="C882" s="8" t="s">
        <v>2270</v>
      </c>
      <c r="D882" s="8" t="s">
        <v>2177</v>
      </c>
      <c r="E882" s="8" t="s">
        <v>2273</v>
      </c>
      <c r="F882" s="9">
        <v>41821</v>
      </c>
      <c r="G882" s="10">
        <f t="shared" ca="1" si="13"/>
        <v>11.432876712328767</v>
      </c>
    </row>
    <row r="883" spans="1:7" x14ac:dyDescent="0.35">
      <c r="A883" s="8">
        <v>100752</v>
      </c>
      <c r="B883" s="8" t="s">
        <v>2274</v>
      </c>
      <c r="C883" s="8" t="s">
        <v>2275</v>
      </c>
      <c r="D883" s="8" t="s">
        <v>2177</v>
      </c>
      <c r="E883" s="8" t="s">
        <v>2276</v>
      </c>
      <c r="F883" s="9">
        <v>41218</v>
      </c>
      <c r="G883" s="10">
        <f t="shared" ca="1" si="13"/>
        <v>13.084931506849315</v>
      </c>
    </row>
    <row r="884" spans="1:7" x14ac:dyDescent="0.35">
      <c r="A884" s="8">
        <v>501553</v>
      </c>
      <c r="B884" s="8" t="s">
        <v>2277</v>
      </c>
      <c r="C884" s="8" t="s">
        <v>2270</v>
      </c>
      <c r="D884" s="8" t="s">
        <v>2177</v>
      </c>
      <c r="E884" s="8" t="s">
        <v>2278</v>
      </c>
      <c r="F884" s="9">
        <v>44973</v>
      </c>
      <c r="G884" s="10">
        <f t="shared" ca="1" si="13"/>
        <v>2.7972602739726029</v>
      </c>
    </row>
    <row r="885" spans="1:7" x14ac:dyDescent="0.35">
      <c r="A885" s="8">
        <v>1932</v>
      </c>
      <c r="B885" s="8" t="s">
        <v>2279</v>
      </c>
      <c r="C885" s="8" t="s">
        <v>2280</v>
      </c>
      <c r="D885" s="8" t="s">
        <v>2177</v>
      </c>
      <c r="E885" s="8" t="s">
        <v>2281</v>
      </c>
      <c r="F885" s="9">
        <v>42996</v>
      </c>
      <c r="G885" s="10">
        <f t="shared" ca="1" si="13"/>
        <v>8.213698630136987</v>
      </c>
    </row>
    <row r="886" spans="1:7" x14ac:dyDescent="0.35">
      <c r="A886" s="8">
        <v>101346</v>
      </c>
      <c r="B886" s="8" t="s">
        <v>2282</v>
      </c>
      <c r="C886" s="8" t="s">
        <v>2275</v>
      </c>
      <c r="D886" s="8" t="s">
        <v>2177</v>
      </c>
      <c r="E886" s="8" t="s">
        <v>2283</v>
      </c>
      <c r="F886" s="9">
        <v>42156</v>
      </c>
      <c r="G886" s="10">
        <f t="shared" ca="1" si="13"/>
        <v>10.515068493150684</v>
      </c>
    </row>
    <row r="887" spans="1:7" x14ac:dyDescent="0.35">
      <c r="A887" s="8">
        <v>500956</v>
      </c>
      <c r="B887" s="8" t="s">
        <v>2284</v>
      </c>
      <c r="C887" s="8" t="s">
        <v>2285</v>
      </c>
      <c r="D887" s="8" t="s">
        <v>2177</v>
      </c>
      <c r="E887" s="8" t="s">
        <v>2286</v>
      </c>
      <c r="F887" s="9">
        <v>44105</v>
      </c>
      <c r="G887" s="10">
        <f t="shared" ca="1" si="13"/>
        <v>5.1753424657534248</v>
      </c>
    </row>
    <row r="888" spans="1:7" x14ac:dyDescent="0.35">
      <c r="A888" s="8">
        <v>502379</v>
      </c>
      <c r="B888" s="8" t="s">
        <v>2287</v>
      </c>
      <c r="C888" s="8" t="s">
        <v>2288</v>
      </c>
      <c r="D888" s="8" t="s">
        <v>2177</v>
      </c>
      <c r="E888" s="8" t="s">
        <v>2289</v>
      </c>
      <c r="F888" s="9">
        <v>45901</v>
      </c>
      <c r="G888" s="10">
        <f t="shared" ca="1" si="13"/>
        <v>0.25479452054794521</v>
      </c>
    </row>
    <row r="889" spans="1:7" x14ac:dyDescent="0.35">
      <c r="A889" s="8">
        <v>502159</v>
      </c>
      <c r="B889" s="8" t="s">
        <v>2290</v>
      </c>
      <c r="C889" s="8" t="s">
        <v>2291</v>
      </c>
      <c r="D889" s="8" t="s">
        <v>2177</v>
      </c>
      <c r="E889" s="8" t="s">
        <v>2292</v>
      </c>
      <c r="F889" s="9">
        <v>45754</v>
      </c>
      <c r="G889" s="10">
        <f t="shared" ca="1" si="13"/>
        <v>0.65753424657534243</v>
      </c>
    </row>
    <row r="890" spans="1:7" x14ac:dyDescent="0.35">
      <c r="A890" s="8">
        <v>501657</v>
      </c>
      <c r="B890" s="8" t="s">
        <v>2293</v>
      </c>
      <c r="C890" s="8" t="s">
        <v>2280</v>
      </c>
      <c r="D890" s="8" t="s">
        <v>2177</v>
      </c>
      <c r="E890" s="8" t="s">
        <v>2294</v>
      </c>
      <c r="F890" s="9">
        <v>45139</v>
      </c>
      <c r="G890" s="10">
        <f t="shared" ca="1" si="13"/>
        <v>2.3424657534246576</v>
      </c>
    </row>
    <row r="891" spans="1:7" x14ac:dyDescent="0.35">
      <c r="A891" s="8">
        <v>501614</v>
      </c>
      <c r="B891" s="8" t="s">
        <v>2295</v>
      </c>
      <c r="C891" s="8" t="s">
        <v>2296</v>
      </c>
      <c r="D891" s="8" t="s">
        <v>2177</v>
      </c>
      <c r="E891" s="8" t="s">
        <v>14</v>
      </c>
      <c r="F891" s="9">
        <v>45082</v>
      </c>
      <c r="G891" s="10">
        <f t="shared" ca="1" si="13"/>
        <v>2.4986301369863013</v>
      </c>
    </row>
    <row r="892" spans="1:7" x14ac:dyDescent="0.35">
      <c r="A892" s="8">
        <v>101134</v>
      </c>
      <c r="B892" s="8" t="s">
        <v>2297</v>
      </c>
      <c r="C892" s="8" t="s">
        <v>2288</v>
      </c>
      <c r="D892" s="8" t="s">
        <v>2177</v>
      </c>
      <c r="E892" s="8" t="s">
        <v>2298</v>
      </c>
      <c r="F892" s="9">
        <v>43501</v>
      </c>
      <c r="G892" s="10">
        <f t="shared" ca="1" si="13"/>
        <v>6.8301369863013699</v>
      </c>
    </row>
    <row r="893" spans="1:7" x14ac:dyDescent="0.35">
      <c r="A893" s="8">
        <v>501558</v>
      </c>
      <c r="B893" s="8" t="s">
        <v>2299</v>
      </c>
      <c r="C893" s="8" t="s">
        <v>2291</v>
      </c>
      <c r="D893" s="8" t="s">
        <v>2177</v>
      </c>
      <c r="E893" s="8" t="s">
        <v>2300</v>
      </c>
      <c r="F893" s="9">
        <v>44986</v>
      </c>
      <c r="G893" s="10">
        <f t="shared" ca="1" si="13"/>
        <v>2.7616438356164386</v>
      </c>
    </row>
    <row r="894" spans="1:7" x14ac:dyDescent="0.35">
      <c r="A894" s="8">
        <v>101371</v>
      </c>
      <c r="B894" s="8" t="s">
        <v>2301</v>
      </c>
      <c r="C894" s="8" t="s">
        <v>2280</v>
      </c>
      <c r="D894" s="8" t="s">
        <v>2177</v>
      </c>
      <c r="E894" s="8" t="s">
        <v>2302</v>
      </c>
      <c r="F894" s="9">
        <v>42186</v>
      </c>
      <c r="G894" s="10">
        <f t="shared" ca="1" si="13"/>
        <v>10.432876712328767</v>
      </c>
    </row>
    <row r="895" spans="1:7" x14ac:dyDescent="0.35">
      <c r="A895" s="8">
        <v>501323</v>
      </c>
      <c r="B895" s="8" t="s">
        <v>2303</v>
      </c>
      <c r="C895" s="8" t="s">
        <v>2296</v>
      </c>
      <c r="D895" s="8" t="s">
        <v>2177</v>
      </c>
      <c r="E895" s="8" t="s">
        <v>14</v>
      </c>
      <c r="F895" s="9">
        <v>44621</v>
      </c>
      <c r="G895" s="10">
        <f t="shared" ca="1" si="13"/>
        <v>3.7616438356164386</v>
      </c>
    </row>
    <row r="896" spans="1:7" x14ac:dyDescent="0.35">
      <c r="A896" s="8">
        <v>501983</v>
      </c>
      <c r="B896" s="8" t="s">
        <v>2304</v>
      </c>
      <c r="C896" s="8" t="s">
        <v>2305</v>
      </c>
      <c r="D896" s="8" t="s">
        <v>2177</v>
      </c>
      <c r="E896" s="8" t="s">
        <v>14</v>
      </c>
      <c r="F896" s="9">
        <v>45552</v>
      </c>
      <c r="G896" s="10">
        <f t="shared" ca="1" si="13"/>
        <v>1.210958904109589</v>
      </c>
    </row>
    <row r="897" spans="1:7" x14ac:dyDescent="0.35">
      <c r="A897" s="8">
        <v>100861</v>
      </c>
      <c r="B897" s="8" t="s">
        <v>2306</v>
      </c>
      <c r="C897" s="8" t="s">
        <v>2288</v>
      </c>
      <c r="D897" s="8" t="s">
        <v>2177</v>
      </c>
      <c r="E897" s="8" t="s">
        <v>2307</v>
      </c>
      <c r="F897" s="9">
        <v>41380</v>
      </c>
      <c r="G897" s="10">
        <f t="shared" ca="1" si="13"/>
        <v>12.641095890410959</v>
      </c>
    </row>
    <row r="898" spans="1:7" x14ac:dyDescent="0.35">
      <c r="A898" s="5">
        <v>502538</v>
      </c>
      <c r="B898" s="5" t="s">
        <v>2308</v>
      </c>
      <c r="C898" s="5" t="s">
        <v>2291</v>
      </c>
      <c r="D898" s="5" t="s">
        <v>2177</v>
      </c>
      <c r="E898" s="5" t="s">
        <v>2309</v>
      </c>
      <c r="F898" s="6">
        <v>45950</v>
      </c>
      <c r="G898" s="7">
        <f t="shared" ca="1" si="13"/>
        <v>0.12054794520547946</v>
      </c>
    </row>
    <row r="899" spans="1:7" x14ac:dyDescent="0.35">
      <c r="A899" s="8">
        <v>101378</v>
      </c>
      <c r="B899" s="8" t="s">
        <v>2310</v>
      </c>
      <c r="C899" s="8" t="s">
        <v>2280</v>
      </c>
      <c r="D899" s="8" t="s">
        <v>2177</v>
      </c>
      <c r="E899" s="8" t="s">
        <v>2311</v>
      </c>
      <c r="F899" s="9">
        <v>42201</v>
      </c>
      <c r="G899" s="10">
        <f t="shared" ca="1" si="13"/>
        <v>10.391780821917807</v>
      </c>
    </row>
    <row r="900" spans="1:7" x14ac:dyDescent="0.35">
      <c r="A900" s="8">
        <v>501934</v>
      </c>
      <c r="B900" s="8" t="s">
        <v>2312</v>
      </c>
      <c r="C900" s="8" t="s">
        <v>2296</v>
      </c>
      <c r="D900" s="8" t="s">
        <v>2177</v>
      </c>
      <c r="E900" s="8" t="s">
        <v>14</v>
      </c>
      <c r="F900" s="9">
        <v>45509</v>
      </c>
      <c r="G900" s="10">
        <f t="shared" ca="1" si="13"/>
        <v>1.3287671232876712</v>
      </c>
    </row>
    <row r="901" spans="1:7" x14ac:dyDescent="0.35">
      <c r="A901" s="8">
        <v>100023</v>
      </c>
      <c r="B901" s="8" t="s">
        <v>2313</v>
      </c>
      <c r="C901" s="8" t="s">
        <v>2314</v>
      </c>
      <c r="D901" s="8" t="s">
        <v>2177</v>
      </c>
      <c r="E901" s="8" t="s">
        <v>2315</v>
      </c>
      <c r="F901" s="9">
        <v>39755</v>
      </c>
      <c r="G901" s="10">
        <f t="shared" ref="G901:G964" ca="1" si="14">($G$1-F901)/365</f>
        <v>17.093150684931508</v>
      </c>
    </row>
    <row r="902" spans="1:7" x14ac:dyDescent="0.35">
      <c r="A902" s="8">
        <v>500651</v>
      </c>
      <c r="B902" s="8" t="s">
        <v>2316</v>
      </c>
      <c r="C902" s="8" t="s">
        <v>2291</v>
      </c>
      <c r="D902" s="8" t="s">
        <v>2177</v>
      </c>
      <c r="E902" s="8" t="s">
        <v>2317</v>
      </c>
      <c r="F902" s="9">
        <v>43543</v>
      </c>
      <c r="G902" s="10">
        <f t="shared" ca="1" si="14"/>
        <v>6.7150684931506852</v>
      </c>
    </row>
    <row r="903" spans="1:7" x14ac:dyDescent="0.35">
      <c r="A903" s="8">
        <v>500581</v>
      </c>
      <c r="B903" s="8" t="s">
        <v>2318</v>
      </c>
      <c r="C903" s="8" t="s">
        <v>2291</v>
      </c>
      <c r="D903" s="8" t="s">
        <v>2177</v>
      </c>
      <c r="E903" s="8" t="s">
        <v>2319</v>
      </c>
      <c r="F903" s="9">
        <v>43424</v>
      </c>
      <c r="G903" s="10">
        <f t="shared" ca="1" si="14"/>
        <v>7.0410958904109586</v>
      </c>
    </row>
    <row r="904" spans="1:7" x14ac:dyDescent="0.35">
      <c r="A904" s="8">
        <v>101314</v>
      </c>
      <c r="B904" s="8" t="s">
        <v>2320</v>
      </c>
      <c r="C904" s="8" t="s">
        <v>2280</v>
      </c>
      <c r="D904" s="8" t="s">
        <v>2177</v>
      </c>
      <c r="E904" s="8" t="s">
        <v>2321</v>
      </c>
      <c r="F904" s="9">
        <v>42100</v>
      </c>
      <c r="G904" s="10">
        <f t="shared" ca="1" si="14"/>
        <v>10.668493150684931</v>
      </c>
    </row>
    <row r="905" spans="1:7" x14ac:dyDescent="0.35">
      <c r="A905" s="8">
        <v>501687</v>
      </c>
      <c r="B905" s="8" t="s">
        <v>2322</v>
      </c>
      <c r="C905" s="8" t="s">
        <v>2296</v>
      </c>
      <c r="D905" s="8" t="s">
        <v>2177</v>
      </c>
      <c r="E905" s="8" t="s">
        <v>14</v>
      </c>
      <c r="F905" s="9">
        <v>45187</v>
      </c>
      <c r="G905" s="10">
        <f t="shared" ca="1" si="14"/>
        <v>2.2109589041095892</v>
      </c>
    </row>
    <row r="906" spans="1:7" x14ac:dyDescent="0.35">
      <c r="A906" s="8">
        <v>101570</v>
      </c>
      <c r="B906" s="8" t="s">
        <v>2323</v>
      </c>
      <c r="C906" s="8" t="s">
        <v>2288</v>
      </c>
      <c r="D906" s="8" t="s">
        <v>2177</v>
      </c>
      <c r="E906" s="8" t="s">
        <v>2324</v>
      </c>
      <c r="F906" s="9">
        <v>42464</v>
      </c>
      <c r="G906" s="10">
        <f t="shared" ca="1" si="14"/>
        <v>9.6712328767123292</v>
      </c>
    </row>
    <row r="907" spans="1:7" x14ac:dyDescent="0.35">
      <c r="A907" s="8">
        <v>502335</v>
      </c>
      <c r="B907" s="8" t="s">
        <v>2325</v>
      </c>
      <c r="C907" s="8" t="s">
        <v>2291</v>
      </c>
      <c r="D907" s="8" t="s">
        <v>2177</v>
      </c>
      <c r="E907" s="8" t="s">
        <v>2326</v>
      </c>
      <c r="F907" s="9">
        <v>45887</v>
      </c>
      <c r="G907" s="10">
        <f t="shared" ca="1" si="14"/>
        <v>0.29315068493150687</v>
      </c>
    </row>
    <row r="908" spans="1:7" x14ac:dyDescent="0.35">
      <c r="A908" s="8">
        <v>502211</v>
      </c>
      <c r="B908" s="8" t="s">
        <v>2327</v>
      </c>
      <c r="C908" s="8" t="s">
        <v>2291</v>
      </c>
      <c r="D908" s="8" t="s">
        <v>2177</v>
      </c>
      <c r="E908" s="8" t="s">
        <v>2328</v>
      </c>
      <c r="F908" s="9">
        <v>45796</v>
      </c>
      <c r="G908" s="10">
        <f t="shared" ca="1" si="14"/>
        <v>0.54246575342465753</v>
      </c>
    </row>
    <row r="909" spans="1:7" x14ac:dyDescent="0.35">
      <c r="A909" s="8">
        <v>500990</v>
      </c>
      <c r="B909" s="8" t="s">
        <v>2329</v>
      </c>
      <c r="C909" s="8" t="s">
        <v>2280</v>
      </c>
      <c r="D909" s="8" t="s">
        <v>2177</v>
      </c>
      <c r="E909" s="8" t="s">
        <v>2330</v>
      </c>
      <c r="F909" s="9">
        <v>44271</v>
      </c>
      <c r="G909" s="10">
        <f t="shared" ca="1" si="14"/>
        <v>4.720547945205479</v>
      </c>
    </row>
    <row r="910" spans="1:7" x14ac:dyDescent="0.35">
      <c r="A910" s="8">
        <v>501743</v>
      </c>
      <c r="B910" s="8" t="s">
        <v>2331</v>
      </c>
      <c r="C910" s="8" t="s">
        <v>2296</v>
      </c>
      <c r="D910" s="8" t="s">
        <v>2177</v>
      </c>
      <c r="E910" s="8" t="s">
        <v>14</v>
      </c>
      <c r="F910" s="9">
        <v>45264</v>
      </c>
      <c r="G910" s="10">
        <f t="shared" ca="1" si="14"/>
        <v>2</v>
      </c>
    </row>
    <row r="911" spans="1:7" x14ac:dyDescent="0.35">
      <c r="A911" s="8">
        <v>500979</v>
      </c>
      <c r="B911" s="8" t="s">
        <v>2332</v>
      </c>
      <c r="C911" s="8" t="s">
        <v>2288</v>
      </c>
      <c r="D911" s="8" t="s">
        <v>2177</v>
      </c>
      <c r="E911" s="8" t="s">
        <v>2333</v>
      </c>
      <c r="F911" s="9">
        <v>44245</v>
      </c>
      <c r="G911" s="10">
        <f t="shared" ca="1" si="14"/>
        <v>4.7917808219178086</v>
      </c>
    </row>
    <row r="912" spans="1:7" x14ac:dyDescent="0.35">
      <c r="A912" s="8">
        <v>501311</v>
      </c>
      <c r="B912" s="8" t="s">
        <v>2334</v>
      </c>
      <c r="C912" s="8" t="s">
        <v>2291</v>
      </c>
      <c r="D912" s="8" t="s">
        <v>2177</v>
      </c>
      <c r="E912" s="8" t="s">
        <v>2335</v>
      </c>
      <c r="F912" s="9">
        <v>44608</v>
      </c>
      <c r="G912" s="10">
        <f t="shared" ca="1" si="14"/>
        <v>3.7972602739726029</v>
      </c>
    </row>
    <row r="913" spans="1:7" x14ac:dyDescent="0.35">
      <c r="A913" s="8">
        <v>500712</v>
      </c>
      <c r="B913" s="8" t="s">
        <v>2336</v>
      </c>
      <c r="C913" s="8" t="s">
        <v>2291</v>
      </c>
      <c r="D913" s="8" t="s">
        <v>2177</v>
      </c>
      <c r="E913" s="8" t="s">
        <v>2337</v>
      </c>
      <c r="F913" s="9">
        <v>43619</v>
      </c>
      <c r="G913" s="10">
        <f t="shared" ca="1" si="14"/>
        <v>6.506849315068493</v>
      </c>
    </row>
    <row r="914" spans="1:7" x14ac:dyDescent="0.35">
      <c r="A914" s="8">
        <v>500959</v>
      </c>
      <c r="B914" s="8" t="s">
        <v>2338</v>
      </c>
      <c r="C914" s="8" t="s">
        <v>2291</v>
      </c>
      <c r="D914" s="8" t="s">
        <v>2177</v>
      </c>
      <c r="E914" s="8" t="s">
        <v>2339</v>
      </c>
      <c r="F914" s="9">
        <v>44153</v>
      </c>
      <c r="G914" s="10">
        <f t="shared" ca="1" si="14"/>
        <v>5.043835616438356</v>
      </c>
    </row>
    <row r="915" spans="1:7" x14ac:dyDescent="0.35">
      <c r="A915" s="8">
        <v>500547</v>
      </c>
      <c r="B915" s="8" t="s">
        <v>2340</v>
      </c>
      <c r="C915" s="8" t="s">
        <v>2280</v>
      </c>
      <c r="D915" s="8" t="s">
        <v>2177</v>
      </c>
      <c r="E915" s="8" t="s">
        <v>2341</v>
      </c>
      <c r="F915" s="9">
        <v>43374</v>
      </c>
      <c r="G915" s="10">
        <f t="shared" ca="1" si="14"/>
        <v>7.1780821917808222</v>
      </c>
    </row>
    <row r="916" spans="1:7" x14ac:dyDescent="0.35">
      <c r="A916" s="8">
        <v>501633</v>
      </c>
      <c r="B916" s="8" t="s">
        <v>2342</v>
      </c>
      <c r="C916" s="8" t="s">
        <v>2296</v>
      </c>
      <c r="D916" s="8" t="s">
        <v>2177</v>
      </c>
      <c r="E916" s="8" t="s">
        <v>14</v>
      </c>
      <c r="F916" s="9">
        <v>45110</v>
      </c>
      <c r="G916" s="10">
        <f t="shared" ca="1" si="14"/>
        <v>2.4219178082191779</v>
      </c>
    </row>
    <row r="917" spans="1:7" x14ac:dyDescent="0.35">
      <c r="A917" s="8">
        <v>501900</v>
      </c>
      <c r="B917" s="8" t="s">
        <v>2343</v>
      </c>
      <c r="C917" s="8" t="s">
        <v>2305</v>
      </c>
      <c r="D917" s="8" t="s">
        <v>2177</v>
      </c>
      <c r="E917" s="8" t="s">
        <v>14</v>
      </c>
      <c r="F917" s="9">
        <v>45474</v>
      </c>
      <c r="G917" s="10">
        <f t="shared" ca="1" si="14"/>
        <v>1.4246575342465753</v>
      </c>
    </row>
    <row r="918" spans="1:7" x14ac:dyDescent="0.35">
      <c r="A918" s="8">
        <v>205</v>
      </c>
      <c r="B918" s="8" t="s">
        <v>2344</v>
      </c>
      <c r="C918" s="8" t="s">
        <v>2314</v>
      </c>
      <c r="D918" s="8" t="s">
        <v>2177</v>
      </c>
      <c r="E918" s="8" t="s">
        <v>2345</v>
      </c>
      <c r="F918" s="9">
        <v>39016</v>
      </c>
      <c r="G918" s="10">
        <f t="shared" ca="1" si="14"/>
        <v>19.117808219178084</v>
      </c>
    </row>
    <row r="919" spans="1:7" x14ac:dyDescent="0.35">
      <c r="A919" s="8">
        <v>500816</v>
      </c>
      <c r="B919" s="8" t="s">
        <v>2346</v>
      </c>
      <c r="C919" s="8" t="s">
        <v>2291</v>
      </c>
      <c r="D919" s="8" t="s">
        <v>2177</v>
      </c>
      <c r="E919" s="8" t="s">
        <v>2347</v>
      </c>
      <c r="F919" s="9">
        <v>43754</v>
      </c>
      <c r="G919" s="10">
        <f t="shared" ca="1" si="14"/>
        <v>6.1369863013698627</v>
      </c>
    </row>
    <row r="920" spans="1:7" x14ac:dyDescent="0.35">
      <c r="A920" s="8">
        <v>502300</v>
      </c>
      <c r="B920" s="8" t="s">
        <v>2348</v>
      </c>
      <c r="C920" s="8" t="s">
        <v>2349</v>
      </c>
      <c r="D920" s="8" t="s">
        <v>2177</v>
      </c>
      <c r="E920" s="8" t="s">
        <v>2350</v>
      </c>
      <c r="F920" s="9">
        <v>45873</v>
      </c>
      <c r="G920" s="10">
        <f t="shared" ca="1" si="14"/>
        <v>0.33150684931506852</v>
      </c>
    </row>
    <row r="921" spans="1:7" x14ac:dyDescent="0.35">
      <c r="A921" s="8">
        <v>500998</v>
      </c>
      <c r="B921" s="8" t="s">
        <v>2351</v>
      </c>
      <c r="C921" s="8" t="s">
        <v>2280</v>
      </c>
      <c r="D921" s="8" t="s">
        <v>2177</v>
      </c>
      <c r="E921" s="8" t="s">
        <v>2352</v>
      </c>
      <c r="F921" s="9">
        <v>44291</v>
      </c>
      <c r="G921" s="10">
        <f t="shared" ca="1" si="14"/>
        <v>4.6657534246575345</v>
      </c>
    </row>
    <row r="922" spans="1:7" x14ac:dyDescent="0.35">
      <c r="A922" s="8">
        <v>501437</v>
      </c>
      <c r="B922" s="8" t="s">
        <v>2353</v>
      </c>
      <c r="C922" s="8" t="s">
        <v>2296</v>
      </c>
      <c r="D922" s="8" t="s">
        <v>2177</v>
      </c>
      <c r="E922" s="8" t="s">
        <v>14</v>
      </c>
      <c r="F922" s="9">
        <v>44760</v>
      </c>
      <c r="G922" s="10">
        <f t="shared" ca="1" si="14"/>
        <v>3.3808219178082193</v>
      </c>
    </row>
    <row r="923" spans="1:7" x14ac:dyDescent="0.35">
      <c r="A923" s="5">
        <v>502474</v>
      </c>
      <c r="B923" s="5" t="s">
        <v>2354</v>
      </c>
      <c r="C923" s="5" t="s">
        <v>2305</v>
      </c>
      <c r="D923" s="5" t="s">
        <v>2177</v>
      </c>
      <c r="E923" s="5" t="s">
        <v>14</v>
      </c>
      <c r="F923" s="6">
        <v>45908</v>
      </c>
      <c r="G923" s="7">
        <f t="shared" ca="1" si="14"/>
        <v>0.23561643835616439</v>
      </c>
    </row>
    <row r="924" spans="1:7" x14ac:dyDescent="0.35">
      <c r="A924" s="8">
        <v>502110</v>
      </c>
      <c r="B924" s="8" t="s">
        <v>2355</v>
      </c>
      <c r="C924" s="8" t="s">
        <v>2305</v>
      </c>
      <c r="D924" s="8" t="s">
        <v>2177</v>
      </c>
      <c r="E924" s="8" t="s">
        <v>14</v>
      </c>
      <c r="F924" s="9">
        <v>45692</v>
      </c>
      <c r="G924" s="10">
        <f t="shared" ca="1" si="14"/>
        <v>0.82739726027397265</v>
      </c>
    </row>
    <row r="925" spans="1:7" x14ac:dyDescent="0.35">
      <c r="A925" s="8">
        <v>502293</v>
      </c>
      <c r="B925" s="8" t="s">
        <v>2356</v>
      </c>
      <c r="C925" s="8" t="s">
        <v>2305</v>
      </c>
      <c r="D925" s="8" t="s">
        <v>2177</v>
      </c>
      <c r="E925" s="8" t="s">
        <v>14</v>
      </c>
      <c r="F925" s="9">
        <v>45873</v>
      </c>
      <c r="G925" s="10">
        <f t="shared" ca="1" si="14"/>
        <v>0.33150684931506852</v>
      </c>
    </row>
    <row r="926" spans="1:7" x14ac:dyDescent="0.35">
      <c r="A926" s="8">
        <v>501664</v>
      </c>
      <c r="B926" s="8" t="s">
        <v>2357</v>
      </c>
      <c r="C926" s="8" t="s">
        <v>2314</v>
      </c>
      <c r="D926" s="8" t="s">
        <v>2177</v>
      </c>
      <c r="E926" s="8" t="s">
        <v>2358</v>
      </c>
      <c r="F926" s="9">
        <v>45154</v>
      </c>
      <c r="G926" s="10">
        <f t="shared" ca="1" si="14"/>
        <v>2.3013698630136985</v>
      </c>
    </row>
    <row r="927" spans="1:7" x14ac:dyDescent="0.35">
      <c r="A927" s="8">
        <v>500884</v>
      </c>
      <c r="B927" s="8" t="s">
        <v>2359</v>
      </c>
      <c r="C927" s="8" t="s">
        <v>2291</v>
      </c>
      <c r="D927" s="8" t="s">
        <v>2177</v>
      </c>
      <c r="E927" s="8" t="s">
        <v>2360</v>
      </c>
      <c r="F927" s="9">
        <v>43865</v>
      </c>
      <c r="G927" s="10">
        <f t="shared" ca="1" si="14"/>
        <v>5.8328767123287673</v>
      </c>
    </row>
    <row r="928" spans="1:7" x14ac:dyDescent="0.35">
      <c r="A928" s="5">
        <v>1896</v>
      </c>
      <c r="B928" s="5" t="s">
        <v>2361</v>
      </c>
      <c r="C928" s="5" t="s">
        <v>2291</v>
      </c>
      <c r="D928" s="5" t="s">
        <v>2177</v>
      </c>
      <c r="E928" s="5" t="s">
        <v>2362</v>
      </c>
      <c r="F928" s="6">
        <v>45922</v>
      </c>
      <c r="G928" s="7">
        <f t="shared" ca="1" si="14"/>
        <v>0.19726027397260273</v>
      </c>
    </row>
    <row r="929" spans="1:7" x14ac:dyDescent="0.35">
      <c r="A929" s="8">
        <v>502108</v>
      </c>
      <c r="B929" s="8" t="s">
        <v>2363</v>
      </c>
      <c r="C929" s="8" t="s">
        <v>2291</v>
      </c>
      <c r="D929" s="8" t="s">
        <v>2177</v>
      </c>
      <c r="E929" s="8" t="s">
        <v>2364</v>
      </c>
      <c r="F929" s="9">
        <v>45692</v>
      </c>
      <c r="G929" s="10">
        <f t="shared" ca="1" si="14"/>
        <v>0.82739726027397265</v>
      </c>
    </row>
    <row r="930" spans="1:7" x14ac:dyDescent="0.35">
      <c r="A930" s="8">
        <v>502319</v>
      </c>
      <c r="B930" s="8" t="s">
        <v>2365</v>
      </c>
      <c r="C930" s="8" t="s">
        <v>2366</v>
      </c>
      <c r="D930" s="8" t="s">
        <v>2177</v>
      </c>
      <c r="E930" s="8" t="s">
        <v>2367</v>
      </c>
      <c r="F930" s="9">
        <v>45873</v>
      </c>
      <c r="G930" s="10">
        <f t="shared" ca="1" si="14"/>
        <v>0.33150684931506852</v>
      </c>
    </row>
    <row r="931" spans="1:7" x14ac:dyDescent="0.35">
      <c r="A931" s="8">
        <v>502294</v>
      </c>
      <c r="B931" s="8" t="s">
        <v>2368</v>
      </c>
      <c r="C931" s="8" t="s">
        <v>2280</v>
      </c>
      <c r="D931" s="8" t="s">
        <v>2177</v>
      </c>
      <c r="E931" s="8" t="s">
        <v>2369</v>
      </c>
      <c r="F931" s="9">
        <v>45873</v>
      </c>
      <c r="G931" s="10">
        <f t="shared" ca="1" si="14"/>
        <v>0.33150684931506852</v>
      </c>
    </row>
    <row r="932" spans="1:7" x14ac:dyDescent="0.35">
      <c r="A932" s="8">
        <v>500593</v>
      </c>
      <c r="B932" s="8" t="s">
        <v>2370</v>
      </c>
      <c r="C932" s="8" t="s">
        <v>2280</v>
      </c>
      <c r="D932" s="8" t="s">
        <v>2177</v>
      </c>
      <c r="E932" s="8" t="s">
        <v>2371</v>
      </c>
      <c r="F932" s="9">
        <v>43437</v>
      </c>
      <c r="G932" s="10">
        <f t="shared" ca="1" si="14"/>
        <v>7.0054794520547947</v>
      </c>
    </row>
    <row r="933" spans="1:7" x14ac:dyDescent="0.35">
      <c r="A933" s="8">
        <v>501552</v>
      </c>
      <c r="B933" s="8" t="s">
        <v>2372</v>
      </c>
      <c r="C933" s="8" t="s">
        <v>2296</v>
      </c>
      <c r="D933" s="8" t="s">
        <v>2177</v>
      </c>
      <c r="E933" s="8" t="s">
        <v>14</v>
      </c>
      <c r="F933" s="9">
        <v>44973</v>
      </c>
      <c r="G933" s="10">
        <f t="shared" ca="1" si="14"/>
        <v>2.7972602739726029</v>
      </c>
    </row>
    <row r="934" spans="1:7" x14ac:dyDescent="0.35">
      <c r="A934" s="8">
        <v>352</v>
      </c>
      <c r="B934" s="8" t="s">
        <v>2373</v>
      </c>
      <c r="C934" s="8" t="s">
        <v>2285</v>
      </c>
      <c r="D934" s="8" t="s">
        <v>2177</v>
      </c>
      <c r="E934" s="8" t="s">
        <v>2374</v>
      </c>
      <c r="F934" s="9">
        <v>39237</v>
      </c>
      <c r="G934" s="10">
        <f t="shared" ca="1" si="14"/>
        <v>18.512328767123286</v>
      </c>
    </row>
    <row r="935" spans="1:7" x14ac:dyDescent="0.35">
      <c r="A935" s="8">
        <v>100540</v>
      </c>
      <c r="B935" s="8" t="s">
        <v>2375</v>
      </c>
      <c r="C935" s="8" t="s">
        <v>2314</v>
      </c>
      <c r="D935" s="8" t="s">
        <v>2177</v>
      </c>
      <c r="E935" s="8" t="s">
        <v>2376</v>
      </c>
      <c r="F935" s="9">
        <v>40756</v>
      </c>
      <c r="G935" s="10">
        <f t="shared" ca="1" si="14"/>
        <v>14.35068493150685</v>
      </c>
    </row>
    <row r="936" spans="1:7" x14ac:dyDescent="0.35">
      <c r="A936" s="8">
        <v>501594</v>
      </c>
      <c r="B936" s="8" t="s">
        <v>2377</v>
      </c>
      <c r="C936" s="8" t="s">
        <v>2291</v>
      </c>
      <c r="D936" s="8" t="s">
        <v>2177</v>
      </c>
      <c r="E936" s="8" t="s">
        <v>2378</v>
      </c>
      <c r="F936" s="9">
        <v>45054</v>
      </c>
      <c r="G936" s="10">
        <f t="shared" ca="1" si="14"/>
        <v>2.5753424657534247</v>
      </c>
    </row>
    <row r="937" spans="1:7" x14ac:dyDescent="0.35">
      <c r="A937" s="8">
        <v>101365</v>
      </c>
      <c r="B937" s="8" t="s">
        <v>2379</v>
      </c>
      <c r="C937" s="8" t="s">
        <v>2291</v>
      </c>
      <c r="D937" s="8" t="s">
        <v>2177</v>
      </c>
      <c r="E937" s="8" t="s">
        <v>2380</v>
      </c>
      <c r="F937" s="9">
        <v>42186</v>
      </c>
      <c r="G937" s="10">
        <f t="shared" ca="1" si="14"/>
        <v>10.432876712328767</v>
      </c>
    </row>
    <row r="938" spans="1:7" x14ac:dyDescent="0.35">
      <c r="A938" s="8">
        <v>1912</v>
      </c>
      <c r="B938" s="8" t="s">
        <v>2381</v>
      </c>
      <c r="C938" s="8" t="s">
        <v>2280</v>
      </c>
      <c r="D938" s="8" t="s">
        <v>2177</v>
      </c>
      <c r="E938" s="8" t="s">
        <v>2382</v>
      </c>
      <c r="F938" s="9">
        <v>42982</v>
      </c>
      <c r="G938" s="10">
        <f t="shared" ca="1" si="14"/>
        <v>8.2520547945205482</v>
      </c>
    </row>
    <row r="939" spans="1:7" x14ac:dyDescent="0.35">
      <c r="A939" s="8">
        <v>500585</v>
      </c>
      <c r="B939" s="8" t="s">
        <v>2383</v>
      </c>
      <c r="C939" s="8" t="s">
        <v>2296</v>
      </c>
      <c r="D939" s="8" t="s">
        <v>2177</v>
      </c>
      <c r="E939" s="8" t="s">
        <v>14</v>
      </c>
      <c r="F939" s="9">
        <v>43424</v>
      </c>
      <c r="G939" s="10">
        <f t="shared" ca="1" si="14"/>
        <v>7.0410958904109586</v>
      </c>
    </row>
    <row r="940" spans="1:7" x14ac:dyDescent="0.35">
      <c r="A940" s="8">
        <v>502086</v>
      </c>
      <c r="B940" s="8" t="s">
        <v>2384</v>
      </c>
      <c r="C940" s="8" t="s">
        <v>2305</v>
      </c>
      <c r="D940" s="8" t="s">
        <v>2177</v>
      </c>
      <c r="E940" s="8" t="s">
        <v>14</v>
      </c>
      <c r="F940" s="9">
        <v>45659</v>
      </c>
      <c r="G940" s="10">
        <f t="shared" ca="1" si="14"/>
        <v>0.9178082191780822</v>
      </c>
    </row>
    <row r="941" spans="1:7" x14ac:dyDescent="0.35">
      <c r="A941" s="8">
        <v>502136</v>
      </c>
      <c r="B941" s="8" t="s">
        <v>2385</v>
      </c>
      <c r="C941" s="8" t="s">
        <v>2288</v>
      </c>
      <c r="D941" s="8" t="s">
        <v>2177</v>
      </c>
      <c r="E941" s="8" t="s">
        <v>2386</v>
      </c>
      <c r="F941" s="9">
        <v>45734</v>
      </c>
      <c r="G941" s="10">
        <f t="shared" ca="1" si="14"/>
        <v>0.71232876712328763</v>
      </c>
    </row>
    <row r="942" spans="1:7" x14ac:dyDescent="0.35">
      <c r="A942" s="8">
        <v>502122</v>
      </c>
      <c r="B942" s="8" t="s">
        <v>2387</v>
      </c>
      <c r="C942" s="8" t="s">
        <v>2291</v>
      </c>
      <c r="D942" s="8" t="s">
        <v>2177</v>
      </c>
      <c r="E942" s="8" t="s">
        <v>2388</v>
      </c>
      <c r="F942" s="9">
        <v>45705</v>
      </c>
      <c r="G942" s="10">
        <f t="shared" ca="1" si="14"/>
        <v>0.79178082191780819</v>
      </c>
    </row>
    <row r="943" spans="1:7" x14ac:dyDescent="0.35">
      <c r="A943" s="8">
        <v>100597</v>
      </c>
      <c r="B943" s="8" t="s">
        <v>2389</v>
      </c>
      <c r="C943" s="8" t="s">
        <v>2291</v>
      </c>
      <c r="D943" s="8" t="s">
        <v>2177</v>
      </c>
      <c r="E943" s="8" t="s">
        <v>2390</v>
      </c>
      <c r="F943" s="9">
        <v>40819</v>
      </c>
      <c r="G943" s="10">
        <f t="shared" ca="1" si="14"/>
        <v>14.178082191780822</v>
      </c>
    </row>
    <row r="944" spans="1:7" x14ac:dyDescent="0.35">
      <c r="A944" s="8">
        <v>500441</v>
      </c>
      <c r="B944" s="8" t="s">
        <v>2391</v>
      </c>
      <c r="C944" s="8" t="s">
        <v>2280</v>
      </c>
      <c r="D944" s="8" t="s">
        <v>2177</v>
      </c>
      <c r="E944" s="8" t="s">
        <v>2392</v>
      </c>
      <c r="F944" s="9">
        <v>43236</v>
      </c>
      <c r="G944" s="10">
        <f t="shared" ca="1" si="14"/>
        <v>7.5561643835616437</v>
      </c>
    </row>
    <row r="945" spans="1:7" x14ac:dyDescent="0.35">
      <c r="A945" s="8">
        <v>501914</v>
      </c>
      <c r="B945" s="8" t="s">
        <v>2393</v>
      </c>
      <c r="C945" s="8" t="s">
        <v>2296</v>
      </c>
      <c r="D945" s="8" t="s">
        <v>2177</v>
      </c>
      <c r="E945" s="8" t="s">
        <v>14</v>
      </c>
      <c r="F945" s="9">
        <v>45489</v>
      </c>
      <c r="G945" s="10">
        <f t="shared" ca="1" si="14"/>
        <v>1.3835616438356164</v>
      </c>
    </row>
    <row r="946" spans="1:7" x14ac:dyDescent="0.35">
      <c r="A946" s="8">
        <v>502318</v>
      </c>
      <c r="B946" s="8" t="s">
        <v>2394</v>
      </c>
      <c r="C946" s="8" t="s">
        <v>2305</v>
      </c>
      <c r="D946" s="8" t="s">
        <v>2177</v>
      </c>
      <c r="E946" s="8" t="s">
        <v>14</v>
      </c>
      <c r="F946" s="9">
        <v>45873</v>
      </c>
      <c r="G946" s="10">
        <f t="shared" ca="1" si="14"/>
        <v>0.33150684931506852</v>
      </c>
    </row>
    <row r="947" spans="1:7" x14ac:dyDescent="0.35">
      <c r="A947" s="8">
        <v>101331</v>
      </c>
      <c r="B947" s="8" t="s">
        <v>2395</v>
      </c>
      <c r="C947" s="8" t="s">
        <v>2314</v>
      </c>
      <c r="D947" s="8" t="s">
        <v>2177</v>
      </c>
      <c r="E947" s="8" t="s">
        <v>2396</v>
      </c>
      <c r="F947" s="9">
        <v>42128</v>
      </c>
      <c r="G947" s="10">
        <f t="shared" ca="1" si="14"/>
        <v>10.591780821917808</v>
      </c>
    </row>
    <row r="948" spans="1:7" x14ac:dyDescent="0.35">
      <c r="A948" s="8">
        <v>501801</v>
      </c>
      <c r="B948" s="8" t="s">
        <v>2397</v>
      </c>
      <c r="C948" s="8" t="s">
        <v>2291</v>
      </c>
      <c r="D948" s="8" t="s">
        <v>2177</v>
      </c>
      <c r="E948" s="8" t="s">
        <v>2398</v>
      </c>
      <c r="F948" s="9">
        <v>45370</v>
      </c>
      <c r="G948" s="10">
        <f t="shared" ca="1" si="14"/>
        <v>1.7095890410958905</v>
      </c>
    </row>
    <row r="949" spans="1:7" x14ac:dyDescent="0.35">
      <c r="A949" s="8">
        <v>500968</v>
      </c>
      <c r="B949" s="8" t="s">
        <v>2399</v>
      </c>
      <c r="C949" s="8" t="s">
        <v>2366</v>
      </c>
      <c r="D949" s="8" t="s">
        <v>2177</v>
      </c>
      <c r="E949" s="8" t="s">
        <v>2400</v>
      </c>
      <c r="F949" s="9">
        <v>44215</v>
      </c>
      <c r="G949" s="10">
        <f t="shared" ca="1" si="14"/>
        <v>4.8739726027397259</v>
      </c>
    </row>
    <row r="950" spans="1:7" x14ac:dyDescent="0.35">
      <c r="A950" s="8">
        <v>500707</v>
      </c>
      <c r="B950" s="8" t="s">
        <v>2401</v>
      </c>
      <c r="C950" s="8" t="s">
        <v>2291</v>
      </c>
      <c r="D950" s="8" t="s">
        <v>2177</v>
      </c>
      <c r="E950" s="8" t="s">
        <v>2402</v>
      </c>
      <c r="F950" s="9">
        <v>43619</v>
      </c>
      <c r="G950" s="10">
        <f t="shared" ca="1" si="14"/>
        <v>6.506849315068493</v>
      </c>
    </row>
    <row r="951" spans="1:7" x14ac:dyDescent="0.35">
      <c r="A951" s="8">
        <v>1917</v>
      </c>
      <c r="B951" s="8" t="s">
        <v>2403</v>
      </c>
      <c r="C951" s="8" t="s">
        <v>2280</v>
      </c>
      <c r="D951" s="8" t="s">
        <v>2177</v>
      </c>
      <c r="E951" s="8" t="s">
        <v>2404</v>
      </c>
      <c r="F951" s="9">
        <v>42982</v>
      </c>
      <c r="G951" s="10">
        <f t="shared" ca="1" si="14"/>
        <v>8.2520547945205482</v>
      </c>
    </row>
    <row r="952" spans="1:7" x14ac:dyDescent="0.35">
      <c r="A952" s="8">
        <v>501289</v>
      </c>
      <c r="B952" s="8" t="s">
        <v>2405</v>
      </c>
      <c r="C952" s="8" t="s">
        <v>2296</v>
      </c>
      <c r="D952" s="8" t="s">
        <v>2177</v>
      </c>
      <c r="E952" s="8" t="s">
        <v>14</v>
      </c>
      <c r="F952" s="9">
        <v>44546</v>
      </c>
      <c r="G952" s="10">
        <f t="shared" ca="1" si="14"/>
        <v>3.967123287671233</v>
      </c>
    </row>
    <row r="953" spans="1:7" x14ac:dyDescent="0.35">
      <c r="A953" s="8">
        <v>501913</v>
      </c>
      <c r="B953" s="8" t="s">
        <v>2406</v>
      </c>
      <c r="C953" s="8" t="s">
        <v>2305</v>
      </c>
      <c r="D953" s="8" t="s">
        <v>2177</v>
      </c>
      <c r="E953" s="8" t="s">
        <v>14</v>
      </c>
      <c r="F953" s="9">
        <v>45489</v>
      </c>
      <c r="G953" s="10">
        <f t="shared" ca="1" si="14"/>
        <v>1.3835616438356164</v>
      </c>
    </row>
    <row r="954" spans="1:7" x14ac:dyDescent="0.35">
      <c r="A954" s="8">
        <v>501498</v>
      </c>
      <c r="B954" s="8" t="s">
        <v>2407</v>
      </c>
      <c r="C954" s="8" t="s">
        <v>2305</v>
      </c>
      <c r="D954" s="8" t="s">
        <v>2177</v>
      </c>
      <c r="E954" s="8" t="s">
        <v>14</v>
      </c>
      <c r="F954" s="9">
        <v>44868</v>
      </c>
      <c r="G954" s="10">
        <f t="shared" ca="1" si="14"/>
        <v>3.0849315068493151</v>
      </c>
    </row>
    <row r="955" spans="1:7" x14ac:dyDescent="0.35">
      <c r="A955" s="8">
        <v>500721</v>
      </c>
      <c r="B955" s="8" t="s">
        <v>2408</v>
      </c>
      <c r="C955" s="8" t="s">
        <v>2288</v>
      </c>
      <c r="D955" s="8" t="s">
        <v>2177</v>
      </c>
      <c r="E955" s="8" t="s">
        <v>2409</v>
      </c>
      <c r="F955" s="9">
        <v>43633</v>
      </c>
      <c r="G955" s="10">
        <f t="shared" ca="1" si="14"/>
        <v>6.4684931506849317</v>
      </c>
    </row>
    <row r="956" spans="1:7" x14ac:dyDescent="0.35">
      <c r="A956" s="8">
        <v>501929</v>
      </c>
      <c r="B956" s="8" t="s">
        <v>2410</v>
      </c>
      <c r="C956" s="8" t="s">
        <v>2291</v>
      </c>
      <c r="D956" s="8" t="s">
        <v>2177</v>
      </c>
      <c r="E956" s="8" t="s">
        <v>2411</v>
      </c>
      <c r="F956" s="9">
        <v>45509</v>
      </c>
      <c r="G956" s="10">
        <f t="shared" ca="1" si="14"/>
        <v>1.3287671232876712</v>
      </c>
    </row>
    <row r="957" spans="1:7" x14ac:dyDescent="0.35">
      <c r="A957" s="8">
        <v>101614</v>
      </c>
      <c r="B957" s="8" t="s">
        <v>2412</v>
      </c>
      <c r="C957" s="8" t="s">
        <v>2366</v>
      </c>
      <c r="D957" s="8" t="s">
        <v>2177</v>
      </c>
      <c r="E957" s="8" t="s">
        <v>2413</v>
      </c>
      <c r="F957" s="9">
        <v>42522</v>
      </c>
      <c r="G957" s="10">
        <f t="shared" ca="1" si="14"/>
        <v>9.5123287671232877</v>
      </c>
    </row>
    <row r="958" spans="1:7" x14ac:dyDescent="0.35">
      <c r="A958" s="8">
        <v>502311</v>
      </c>
      <c r="B958" s="8" t="s">
        <v>2414</v>
      </c>
      <c r="C958" s="8" t="s">
        <v>2366</v>
      </c>
      <c r="D958" s="8" t="s">
        <v>2177</v>
      </c>
      <c r="E958" s="8" t="s">
        <v>2415</v>
      </c>
      <c r="F958" s="9">
        <v>45873</v>
      </c>
      <c r="G958" s="10">
        <f t="shared" ca="1" si="14"/>
        <v>0.33150684931506852</v>
      </c>
    </row>
    <row r="959" spans="1:7" x14ac:dyDescent="0.35">
      <c r="A959" s="8">
        <v>502312</v>
      </c>
      <c r="B959" s="8" t="s">
        <v>2416</v>
      </c>
      <c r="C959" s="8" t="s">
        <v>2291</v>
      </c>
      <c r="D959" s="8" t="s">
        <v>2177</v>
      </c>
      <c r="E959" s="8" t="s">
        <v>2417</v>
      </c>
      <c r="F959" s="9">
        <v>45873</v>
      </c>
      <c r="G959" s="10">
        <f t="shared" ca="1" si="14"/>
        <v>0.33150684931506852</v>
      </c>
    </row>
    <row r="960" spans="1:7" x14ac:dyDescent="0.35">
      <c r="A960" s="8">
        <v>101527</v>
      </c>
      <c r="B960" s="8" t="s">
        <v>2418</v>
      </c>
      <c r="C960" s="8" t="s">
        <v>2280</v>
      </c>
      <c r="D960" s="8" t="s">
        <v>2177</v>
      </c>
      <c r="E960" s="8" t="s">
        <v>2419</v>
      </c>
      <c r="F960" s="9">
        <v>42387</v>
      </c>
      <c r="G960" s="10">
        <f t="shared" ca="1" si="14"/>
        <v>9.882191780821918</v>
      </c>
    </row>
    <row r="961" spans="1:7" x14ac:dyDescent="0.35">
      <c r="A961" s="8">
        <v>501688</v>
      </c>
      <c r="B961" s="8" t="s">
        <v>2420</v>
      </c>
      <c r="C961" s="8" t="s">
        <v>2296</v>
      </c>
      <c r="D961" s="8" t="s">
        <v>2177</v>
      </c>
      <c r="E961" s="8" t="s">
        <v>14</v>
      </c>
      <c r="F961" s="9">
        <v>45187</v>
      </c>
      <c r="G961" s="10">
        <f t="shared" ca="1" si="14"/>
        <v>2.2109589041095892</v>
      </c>
    </row>
    <row r="962" spans="1:7" x14ac:dyDescent="0.35">
      <c r="A962" s="8">
        <v>502053</v>
      </c>
      <c r="B962" s="8" t="s">
        <v>2421</v>
      </c>
      <c r="C962" s="8" t="s">
        <v>2305</v>
      </c>
      <c r="D962" s="8" t="s">
        <v>2177</v>
      </c>
      <c r="E962" s="8" t="s">
        <v>14</v>
      </c>
      <c r="F962" s="9">
        <v>45615</v>
      </c>
      <c r="G962" s="10">
        <f t="shared" ca="1" si="14"/>
        <v>1.0383561643835617</v>
      </c>
    </row>
    <row r="963" spans="1:7" x14ac:dyDescent="0.35">
      <c r="A963" s="8">
        <v>502135</v>
      </c>
      <c r="B963" s="8" t="s">
        <v>2422</v>
      </c>
      <c r="C963" s="8" t="s">
        <v>2314</v>
      </c>
      <c r="D963" s="8" t="s">
        <v>2177</v>
      </c>
      <c r="E963" s="8" t="s">
        <v>2423</v>
      </c>
      <c r="F963" s="9">
        <v>45734</v>
      </c>
      <c r="G963" s="10">
        <f t="shared" ca="1" si="14"/>
        <v>0.71232876712328763</v>
      </c>
    </row>
    <row r="964" spans="1:7" x14ac:dyDescent="0.35">
      <c r="A964" s="5">
        <v>502498</v>
      </c>
      <c r="B964" s="5" t="s">
        <v>2424</v>
      </c>
      <c r="C964" s="5" t="s">
        <v>2291</v>
      </c>
      <c r="D964" s="5" t="s">
        <v>2177</v>
      </c>
      <c r="E964" s="5" t="s">
        <v>2425</v>
      </c>
      <c r="F964" s="6">
        <v>45929</v>
      </c>
      <c r="G964" s="7">
        <f t="shared" ca="1" si="14"/>
        <v>0.17808219178082191</v>
      </c>
    </row>
    <row r="965" spans="1:7" x14ac:dyDescent="0.35">
      <c r="A965" s="8">
        <v>501420</v>
      </c>
      <c r="B965" s="8" t="s">
        <v>2426</v>
      </c>
      <c r="C965" s="8" t="s">
        <v>2291</v>
      </c>
      <c r="D965" s="8" t="s">
        <v>2177</v>
      </c>
      <c r="E965" s="8" t="s">
        <v>2427</v>
      </c>
      <c r="F965" s="9">
        <v>44746</v>
      </c>
      <c r="G965" s="10">
        <f t="shared" ref="G965:G1028" ca="1" si="15">($G$1-F965)/365</f>
        <v>3.419178082191781</v>
      </c>
    </row>
    <row r="966" spans="1:7" x14ac:dyDescent="0.35">
      <c r="A966" s="8">
        <v>500880</v>
      </c>
      <c r="B966" s="8" t="s">
        <v>2428</v>
      </c>
      <c r="C966" s="8" t="s">
        <v>2280</v>
      </c>
      <c r="D966" s="8" t="s">
        <v>2177</v>
      </c>
      <c r="E966" s="8" t="s">
        <v>2429</v>
      </c>
      <c r="F966" s="9">
        <v>43846</v>
      </c>
      <c r="G966" s="10">
        <f t="shared" ca="1" si="15"/>
        <v>5.8849315068493153</v>
      </c>
    </row>
    <row r="967" spans="1:7" x14ac:dyDescent="0.35">
      <c r="A967" s="8">
        <v>500928</v>
      </c>
      <c r="B967" s="8" t="s">
        <v>2430</v>
      </c>
      <c r="C967" s="8" t="s">
        <v>2288</v>
      </c>
      <c r="D967" s="8" t="s">
        <v>2177</v>
      </c>
      <c r="E967" s="8" t="s">
        <v>2431</v>
      </c>
      <c r="F967" s="9">
        <v>43983</v>
      </c>
      <c r="G967" s="10">
        <f t="shared" ca="1" si="15"/>
        <v>5.5095890410958903</v>
      </c>
    </row>
    <row r="968" spans="1:7" x14ac:dyDescent="0.35">
      <c r="A968" s="8">
        <v>523</v>
      </c>
      <c r="B968" s="8" t="s">
        <v>2432</v>
      </c>
      <c r="C968" s="8" t="s">
        <v>2291</v>
      </c>
      <c r="D968" s="8" t="s">
        <v>2177</v>
      </c>
      <c r="E968" s="8" t="s">
        <v>2433</v>
      </c>
      <c r="F968" s="9">
        <v>39496</v>
      </c>
      <c r="G968" s="10">
        <f t="shared" ca="1" si="15"/>
        <v>17.802739726027397</v>
      </c>
    </row>
    <row r="969" spans="1:7" x14ac:dyDescent="0.35">
      <c r="A969" s="8">
        <v>500471</v>
      </c>
      <c r="B969" s="8" t="s">
        <v>2434</v>
      </c>
      <c r="C969" s="8" t="s">
        <v>2291</v>
      </c>
      <c r="D969" s="8" t="s">
        <v>2177</v>
      </c>
      <c r="E969" s="8" t="s">
        <v>2435</v>
      </c>
      <c r="F969" s="9">
        <v>43283</v>
      </c>
      <c r="G969" s="10">
        <f t="shared" ca="1" si="15"/>
        <v>7.4273972602739722</v>
      </c>
    </row>
    <row r="970" spans="1:7" x14ac:dyDescent="0.35">
      <c r="A970" s="8">
        <v>500476</v>
      </c>
      <c r="B970" s="8" t="s">
        <v>2436</v>
      </c>
      <c r="C970" s="8" t="s">
        <v>2280</v>
      </c>
      <c r="D970" s="8" t="s">
        <v>2177</v>
      </c>
      <c r="E970" s="8" t="s">
        <v>2437</v>
      </c>
      <c r="F970" s="9">
        <v>43283</v>
      </c>
      <c r="G970" s="10">
        <f t="shared" ca="1" si="15"/>
        <v>7.4273972602739722</v>
      </c>
    </row>
    <row r="971" spans="1:7" x14ac:dyDescent="0.35">
      <c r="A971" s="8">
        <v>502342</v>
      </c>
      <c r="B971" s="8" t="s">
        <v>2438</v>
      </c>
      <c r="C971" s="8" t="s">
        <v>2296</v>
      </c>
      <c r="D971" s="8" t="s">
        <v>2177</v>
      </c>
      <c r="E971" s="8" t="s">
        <v>14</v>
      </c>
      <c r="F971" s="9">
        <v>45887</v>
      </c>
      <c r="G971" s="10">
        <f t="shared" ca="1" si="15"/>
        <v>0.29315068493150687</v>
      </c>
    </row>
    <row r="972" spans="1:7" x14ac:dyDescent="0.35">
      <c r="A972" s="8">
        <v>501982</v>
      </c>
      <c r="B972" s="8" t="s">
        <v>2439</v>
      </c>
      <c r="C972" s="8" t="s">
        <v>2305</v>
      </c>
      <c r="D972" s="8" t="s">
        <v>2177</v>
      </c>
      <c r="E972" s="8" t="s">
        <v>14</v>
      </c>
      <c r="F972" s="9">
        <v>45552</v>
      </c>
      <c r="G972" s="10">
        <f t="shared" ca="1" si="15"/>
        <v>1.210958904109589</v>
      </c>
    </row>
    <row r="973" spans="1:7" x14ac:dyDescent="0.35">
      <c r="A973" s="8">
        <v>501344</v>
      </c>
      <c r="B973" s="8" t="s">
        <v>2440</v>
      </c>
      <c r="C973" s="8" t="s">
        <v>2314</v>
      </c>
      <c r="D973" s="8" t="s">
        <v>2177</v>
      </c>
      <c r="E973" s="8" t="s">
        <v>2441</v>
      </c>
      <c r="F973" s="9">
        <v>44662</v>
      </c>
      <c r="G973" s="10">
        <f t="shared" ca="1" si="15"/>
        <v>3.6493150684931508</v>
      </c>
    </row>
    <row r="974" spans="1:7" x14ac:dyDescent="0.35">
      <c r="A974" s="8">
        <v>501835</v>
      </c>
      <c r="B974" s="8" t="s">
        <v>2442</v>
      </c>
      <c r="C974" s="8" t="s">
        <v>2291</v>
      </c>
      <c r="D974" s="8" t="s">
        <v>2177</v>
      </c>
      <c r="E974" s="8" t="s">
        <v>2443</v>
      </c>
      <c r="F974" s="9">
        <v>45414</v>
      </c>
      <c r="G974" s="10">
        <f t="shared" ca="1" si="15"/>
        <v>1.5890410958904109</v>
      </c>
    </row>
    <row r="975" spans="1:7" x14ac:dyDescent="0.35">
      <c r="A975" s="8">
        <v>502381</v>
      </c>
      <c r="B975" s="8" t="s">
        <v>2444</v>
      </c>
      <c r="C975" s="8" t="s">
        <v>2291</v>
      </c>
      <c r="D975" s="8" t="s">
        <v>2177</v>
      </c>
      <c r="E975" s="8" t="s">
        <v>2445</v>
      </c>
      <c r="F975" s="9">
        <v>45901</v>
      </c>
      <c r="G975" s="10">
        <f t="shared" ca="1" si="15"/>
        <v>0.25479452054794521</v>
      </c>
    </row>
    <row r="976" spans="1:7" x14ac:dyDescent="0.35">
      <c r="A976" s="8">
        <v>501545</v>
      </c>
      <c r="B976" s="8" t="s">
        <v>2446</v>
      </c>
      <c r="C976" s="8" t="s">
        <v>2280</v>
      </c>
      <c r="D976" s="8" t="s">
        <v>2177</v>
      </c>
      <c r="E976" s="8" t="s">
        <v>2447</v>
      </c>
      <c r="F976" s="9">
        <v>44958</v>
      </c>
      <c r="G976" s="10">
        <f t="shared" ca="1" si="15"/>
        <v>2.8383561643835615</v>
      </c>
    </row>
    <row r="977" spans="1:7" x14ac:dyDescent="0.35">
      <c r="A977" s="8">
        <v>500874</v>
      </c>
      <c r="B977" s="8" t="s">
        <v>2448</v>
      </c>
      <c r="C977" s="8" t="s">
        <v>2296</v>
      </c>
      <c r="D977" s="8" t="s">
        <v>2177</v>
      </c>
      <c r="E977" s="8" t="s">
        <v>14</v>
      </c>
      <c r="F977" s="9">
        <v>43836</v>
      </c>
      <c r="G977" s="10">
        <f t="shared" ca="1" si="15"/>
        <v>5.912328767123288</v>
      </c>
    </row>
    <row r="978" spans="1:7" x14ac:dyDescent="0.35">
      <c r="A978" s="8">
        <v>501911</v>
      </c>
      <c r="B978" s="8" t="s">
        <v>2449</v>
      </c>
      <c r="C978" s="8" t="s">
        <v>2305</v>
      </c>
      <c r="D978" s="8" t="s">
        <v>2177</v>
      </c>
      <c r="E978" s="8" t="s">
        <v>14</v>
      </c>
      <c r="F978" s="9">
        <v>45489</v>
      </c>
      <c r="G978" s="10">
        <f t="shared" ca="1" si="15"/>
        <v>1.3835616438356164</v>
      </c>
    </row>
    <row r="979" spans="1:7" x14ac:dyDescent="0.35">
      <c r="A979" s="8">
        <v>502054</v>
      </c>
      <c r="B979" s="8" t="s">
        <v>2450</v>
      </c>
      <c r="C979" s="8" t="s">
        <v>2305</v>
      </c>
      <c r="D979" s="8" t="s">
        <v>2177</v>
      </c>
      <c r="E979" s="8" t="s">
        <v>14</v>
      </c>
      <c r="F979" s="9">
        <v>45615</v>
      </c>
      <c r="G979" s="10">
        <f t="shared" ca="1" si="15"/>
        <v>1.0383561643835617</v>
      </c>
    </row>
    <row r="980" spans="1:7" x14ac:dyDescent="0.35">
      <c r="A980" s="8">
        <v>502323</v>
      </c>
      <c r="B980" s="8" t="s">
        <v>2451</v>
      </c>
      <c r="C980" s="8" t="s">
        <v>2288</v>
      </c>
      <c r="D980" s="8" t="s">
        <v>2177</v>
      </c>
      <c r="E980" s="8" t="s">
        <v>2452</v>
      </c>
      <c r="F980" s="9">
        <v>45880</v>
      </c>
      <c r="G980" s="10">
        <f t="shared" ca="1" si="15"/>
        <v>0.31232876712328766</v>
      </c>
    </row>
    <row r="981" spans="1:7" x14ac:dyDescent="0.35">
      <c r="A981" s="8">
        <v>501751</v>
      </c>
      <c r="B981" s="8" t="s">
        <v>2453</v>
      </c>
      <c r="C981" s="8" t="s">
        <v>2291</v>
      </c>
      <c r="D981" s="8" t="s">
        <v>2177</v>
      </c>
      <c r="E981" s="8" t="s">
        <v>2454</v>
      </c>
      <c r="F981" s="9">
        <v>45293</v>
      </c>
      <c r="G981" s="10">
        <f t="shared" ca="1" si="15"/>
        <v>1.9205479452054794</v>
      </c>
    </row>
    <row r="982" spans="1:7" x14ac:dyDescent="0.35">
      <c r="A982" s="8">
        <v>501540</v>
      </c>
      <c r="B982" s="8" t="s">
        <v>2455</v>
      </c>
      <c r="C982" s="8" t="s">
        <v>2291</v>
      </c>
      <c r="D982" s="8" t="s">
        <v>2177</v>
      </c>
      <c r="E982" s="8" t="s">
        <v>2456</v>
      </c>
      <c r="F982" s="9">
        <v>44958</v>
      </c>
      <c r="G982" s="10">
        <f t="shared" ca="1" si="15"/>
        <v>2.8383561643835615</v>
      </c>
    </row>
    <row r="983" spans="1:7" x14ac:dyDescent="0.35">
      <c r="A983" s="8">
        <v>1877</v>
      </c>
      <c r="B983" s="8" t="s">
        <v>2457</v>
      </c>
      <c r="C983" s="8" t="s">
        <v>2280</v>
      </c>
      <c r="D983" s="8" t="s">
        <v>2177</v>
      </c>
      <c r="E983" s="8" t="s">
        <v>2458</v>
      </c>
      <c r="F983" s="9">
        <v>42933</v>
      </c>
      <c r="G983" s="10">
        <f t="shared" ca="1" si="15"/>
        <v>8.3863013698630144</v>
      </c>
    </row>
    <row r="984" spans="1:7" x14ac:dyDescent="0.35">
      <c r="A984" s="5">
        <v>502473</v>
      </c>
      <c r="B984" s="5" t="s">
        <v>2459</v>
      </c>
      <c r="C984" s="5" t="s">
        <v>2296</v>
      </c>
      <c r="D984" s="5" t="s">
        <v>2177</v>
      </c>
      <c r="E984" s="5" t="s">
        <v>14</v>
      </c>
      <c r="F984" s="6">
        <v>45908</v>
      </c>
      <c r="G984" s="7">
        <f t="shared" ca="1" si="15"/>
        <v>0.23561643835616439</v>
      </c>
    </row>
    <row r="985" spans="1:7" x14ac:dyDescent="0.35">
      <c r="A985" s="8">
        <v>502275</v>
      </c>
      <c r="B985" s="8" t="s">
        <v>2460</v>
      </c>
      <c r="C985" s="8" t="s">
        <v>2305</v>
      </c>
      <c r="D985" s="8" t="s">
        <v>2177</v>
      </c>
      <c r="E985" s="8" t="s">
        <v>14</v>
      </c>
      <c r="F985" s="9">
        <v>45845</v>
      </c>
      <c r="G985" s="10">
        <f t="shared" ca="1" si="15"/>
        <v>0.40821917808219177</v>
      </c>
    </row>
    <row r="986" spans="1:7" x14ac:dyDescent="0.35">
      <c r="A986" s="8">
        <v>501822</v>
      </c>
      <c r="B986" s="8" t="s">
        <v>2461</v>
      </c>
      <c r="C986" s="8" t="s">
        <v>2291</v>
      </c>
      <c r="D986" s="8" t="s">
        <v>2177</v>
      </c>
      <c r="E986" s="8" t="s">
        <v>2462</v>
      </c>
      <c r="F986" s="9">
        <v>45398</v>
      </c>
      <c r="G986" s="10">
        <f t="shared" ca="1" si="15"/>
        <v>1.6328767123287671</v>
      </c>
    </row>
    <row r="987" spans="1:7" x14ac:dyDescent="0.35">
      <c r="A987" s="8">
        <v>502139</v>
      </c>
      <c r="B987" s="8" t="s">
        <v>2463</v>
      </c>
      <c r="C987" s="8" t="s">
        <v>2291</v>
      </c>
      <c r="D987" s="8" t="s">
        <v>2177</v>
      </c>
      <c r="E987" s="8" t="s">
        <v>2464</v>
      </c>
      <c r="F987" s="9">
        <v>45734</v>
      </c>
      <c r="G987" s="10">
        <f t="shared" ca="1" si="15"/>
        <v>0.71232876712328763</v>
      </c>
    </row>
    <row r="988" spans="1:7" x14ac:dyDescent="0.35">
      <c r="A988" s="8">
        <v>501535</v>
      </c>
      <c r="B988" s="8" t="s">
        <v>2465</v>
      </c>
      <c r="C988" s="8" t="s">
        <v>2280</v>
      </c>
      <c r="D988" s="8" t="s">
        <v>2177</v>
      </c>
      <c r="E988" s="8" t="s">
        <v>2466</v>
      </c>
      <c r="F988" s="9">
        <v>44942</v>
      </c>
      <c r="G988" s="10">
        <f t="shared" ca="1" si="15"/>
        <v>2.882191780821918</v>
      </c>
    </row>
    <row r="989" spans="1:7" x14ac:dyDescent="0.35">
      <c r="A989" s="8">
        <v>501597</v>
      </c>
      <c r="B989" s="8" t="s">
        <v>2467</v>
      </c>
      <c r="C989" s="8" t="s">
        <v>2296</v>
      </c>
      <c r="D989" s="8" t="s">
        <v>2177</v>
      </c>
      <c r="E989" s="8" t="s">
        <v>14</v>
      </c>
      <c r="F989" s="9">
        <v>45062</v>
      </c>
      <c r="G989" s="10">
        <f t="shared" ca="1" si="15"/>
        <v>2.5534246575342467</v>
      </c>
    </row>
    <row r="990" spans="1:7" x14ac:dyDescent="0.35">
      <c r="A990" s="8">
        <v>502162</v>
      </c>
      <c r="B990" s="8" t="s">
        <v>2468</v>
      </c>
      <c r="C990" s="8" t="s">
        <v>2305</v>
      </c>
      <c r="D990" s="8" t="s">
        <v>2177</v>
      </c>
      <c r="E990" s="8" t="s">
        <v>14</v>
      </c>
      <c r="F990" s="9">
        <v>45754</v>
      </c>
      <c r="G990" s="10">
        <f t="shared" ca="1" si="15"/>
        <v>0.65753424657534243</v>
      </c>
    </row>
    <row r="991" spans="1:7" x14ac:dyDescent="0.35">
      <c r="A991" s="8">
        <v>356</v>
      </c>
      <c r="B991" s="8" t="s">
        <v>2469</v>
      </c>
      <c r="C991" s="8" t="s">
        <v>2314</v>
      </c>
      <c r="D991" s="8" t="s">
        <v>2177</v>
      </c>
      <c r="E991" s="8" t="s">
        <v>2470</v>
      </c>
      <c r="F991" s="9">
        <v>39237</v>
      </c>
      <c r="G991" s="10">
        <f t="shared" ca="1" si="15"/>
        <v>18.512328767123286</v>
      </c>
    </row>
    <row r="992" spans="1:7" x14ac:dyDescent="0.35">
      <c r="A992" s="8">
        <v>1679</v>
      </c>
      <c r="B992" s="8" t="s">
        <v>2471</v>
      </c>
      <c r="C992" s="8" t="s">
        <v>2291</v>
      </c>
      <c r="D992" s="8" t="s">
        <v>2177</v>
      </c>
      <c r="E992" s="8" t="s">
        <v>2472</v>
      </c>
      <c r="F992" s="9">
        <v>42709</v>
      </c>
      <c r="G992" s="10">
        <f t="shared" ca="1" si="15"/>
        <v>9</v>
      </c>
    </row>
    <row r="993" spans="1:7" x14ac:dyDescent="0.35">
      <c r="A993" s="8">
        <v>502380</v>
      </c>
      <c r="B993" s="8" t="s">
        <v>2473</v>
      </c>
      <c r="C993" s="8" t="s">
        <v>2291</v>
      </c>
      <c r="D993" s="8" t="s">
        <v>2177</v>
      </c>
      <c r="E993" s="8" t="s">
        <v>2474</v>
      </c>
      <c r="F993" s="9">
        <v>45901</v>
      </c>
      <c r="G993" s="10">
        <f t="shared" ca="1" si="15"/>
        <v>0.25479452054794521</v>
      </c>
    </row>
    <row r="994" spans="1:7" x14ac:dyDescent="0.35">
      <c r="A994" s="8">
        <v>501416</v>
      </c>
      <c r="B994" s="8" t="s">
        <v>2475</v>
      </c>
      <c r="C994" s="8" t="s">
        <v>2280</v>
      </c>
      <c r="D994" s="8" t="s">
        <v>2177</v>
      </c>
      <c r="E994" s="8" t="s">
        <v>2476</v>
      </c>
      <c r="F994" s="9">
        <v>44728</v>
      </c>
      <c r="G994" s="10">
        <f t="shared" ca="1" si="15"/>
        <v>3.4684931506849317</v>
      </c>
    </row>
    <row r="995" spans="1:7" x14ac:dyDescent="0.35">
      <c r="A995" s="8">
        <v>501781</v>
      </c>
      <c r="B995" s="8" t="s">
        <v>2477</v>
      </c>
      <c r="C995" s="8" t="s">
        <v>2296</v>
      </c>
      <c r="D995" s="8" t="s">
        <v>2177</v>
      </c>
      <c r="E995" s="8" t="s">
        <v>14</v>
      </c>
      <c r="F995" s="9">
        <v>45355</v>
      </c>
      <c r="G995" s="10">
        <f t="shared" ca="1" si="15"/>
        <v>1.7506849315068493</v>
      </c>
    </row>
    <row r="996" spans="1:7" x14ac:dyDescent="0.35">
      <c r="A996" s="8">
        <v>502269</v>
      </c>
      <c r="B996" s="8" t="s">
        <v>2478</v>
      </c>
      <c r="C996" s="8" t="s">
        <v>2305</v>
      </c>
      <c r="D996" s="8" t="s">
        <v>2177</v>
      </c>
      <c r="E996" s="8" t="s">
        <v>14</v>
      </c>
      <c r="F996" s="9">
        <v>45845</v>
      </c>
      <c r="G996" s="10">
        <f t="shared" ca="1" si="15"/>
        <v>0.40821917808219177</v>
      </c>
    </row>
    <row r="997" spans="1:7" x14ac:dyDescent="0.35">
      <c r="A997" s="8">
        <v>501387</v>
      </c>
      <c r="B997" s="8" t="s">
        <v>2479</v>
      </c>
      <c r="C997" s="8" t="s">
        <v>2480</v>
      </c>
      <c r="D997" s="8" t="s">
        <v>2481</v>
      </c>
      <c r="E997" s="8" t="s">
        <v>2482</v>
      </c>
      <c r="F997" s="9">
        <v>44697</v>
      </c>
      <c r="G997" s="10">
        <f t="shared" ca="1" si="15"/>
        <v>3.5534246575342467</v>
      </c>
    </row>
    <row r="998" spans="1:7" x14ac:dyDescent="0.35">
      <c r="A998" s="8">
        <v>501381</v>
      </c>
      <c r="B998" s="8" t="s">
        <v>2483</v>
      </c>
      <c r="C998" s="8" t="s">
        <v>800</v>
      </c>
      <c r="D998" s="8" t="s">
        <v>2481</v>
      </c>
      <c r="E998" s="8" t="s">
        <v>2484</v>
      </c>
      <c r="F998" s="9">
        <v>44683</v>
      </c>
      <c r="G998" s="10">
        <f t="shared" ca="1" si="15"/>
        <v>3.591780821917808</v>
      </c>
    </row>
    <row r="999" spans="1:7" x14ac:dyDescent="0.35">
      <c r="A999" s="8">
        <v>501383</v>
      </c>
      <c r="B999" s="8" t="s">
        <v>2485</v>
      </c>
      <c r="C999" s="8" t="s">
        <v>803</v>
      </c>
      <c r="D999" s="8" t="s">
        <v>2481</v>
      </c>
      <c r="E999" s="8" t="s">
        <v>14</v>
      </c>
      <c r="F999" s="9">
        <v>44683</v>
      </c>
      <c r="G999" s="10">
        <f t="shared" ca="1" si="15"/>
        <v>3.591780821917808</v>
      </c>
    </row>
    <row r="1000" spans="1:7" x14ac:dyDescent="0.35">
      <c r="A1000" s="5">
        <v>502488</v>
      </c>
      <c r="B1000" s="5" t="s">
        <v>2486</v>
      </c>
      <c r="C1000" s="5" t="s">
        <v>2487</v>
      </c>
      <c r="D1000" s="5" t="s">
        <v>2481</v>
      </c>
      <c r="E1000" s="5" t="s">
        <v>2488</v>
      </c>
      <c r="F1000" s="6">
        <v>45922</v>
      </c>
      <c r="G1000" s="7">
        <f t="shared" ca="1" si="15"/>
        <v>0.19726027397260273</v>
      </c>
    </row>
    <row r="1001" spans="1:7" x14ac:dyDescent="0.35">
      <c r="A1001" s="8">
        <v>501368</v>
      </c>
      <c r="B1001" s="8" t="s">
        <v>2489</v>
      </c>
      <c r="C1001" s="8" t="s">
        <v>2490</v>
      </c>
      <c r="D1001" s="8" t="s">
        <v>2481</v>
      </c>
      <c r="E1001" s="8" t="s">
        <v>2491</v>
      </c>
      <c r="F1001" s="9">
        <v>44683</v>
      </c>
      <c r="G1001" s="10">
        <f t="shared" ca="1" si="15"/>
        <v>3.591780821917808</v>
      </c>
    </row>
    <row r="1002" spans="1:7" x14ac:dyDescent="0.35">
      <c r="A1002" s="8">
        <v>501376</v>
      </c>
      <c r="B1002" s="8" t="s">
        <v>2492</v>
      </c>
      <c r="C1002" s="8" t="s">
        <v>2493</v>
      </c>
      <c r="D1002" s="8" t="s">
        <v>2481</v>
      </c>
      <c r="E1002" s="8" t="s">
        <v>2494</v>
      </c>
      <c r="F1002" s="9">
        <v>44683</v>
      </c>
      <c r="G1002" s="10">
        <f t="shared" ca="1" si="15"/>
        <v>3.591780821917808</v>
      </c>
    </row>
    <row r="1003" spans="1:7" x14ac:dyDescent="0.35">
      <c r="A1003" s="8">
        <v>501411</v>
      </c>
      <c r="B1003" s="8" t="s">
        <v>2495</v>
      </c>
      <c r="C1003" s="8" t="s">
        <v>2493</v>
      </c>
      <c r="D1003" s="8" t="s">
        <v>2481</v>
      </c>
      <c r="E1003" s="8" t="s">
        <v>2496</v>
      </c>
      <c r="F1003" s="9">
        <v>44728</v>
      </c>
      <c r="G1003" s="10">
        <f t="shared" ca="1" si="15"/>
        <v>3.4684931506849317</v>
      </c>
    </row>
    <row r="1004" spans="1:7" x14ac:dyDescent="0.35">
      <c r="A1004" s="8">
        <v>100444</v>
      </c>
      <c r="B1004" s="8" t="s">
        <v>2497</v>
      </c>
      <c r="C1004" s="8" t="s">
        <v>2498</v>
      </c>
      <c r="D1004" s="8" t="s">
        <v>2481</v>
      </c>
      <c r="E1004" s="8" t="s">
        <v>2499</v>
      </c>
      <c r="F1004" s="9">
        <v>40575</v>
      </c>
      <c r="G1004" s="10">
        <f t="shared" ca="1" si="15"/>
        <v>14.846575342465753</v>
      </c>
    </row>
    <row r="1005" spans="1:7" x14ac:dyDescent="0.35">
      <c r="A1005" s="8">
        <v>500470</v>
      </c>
      <c r="B1005" s="8" t="s">
        <v>2500</v>
      </c>
      <c r="C1005" s="8" t="s">
        <v>2501</v>
      </c>
      <c r="D1005" s="8" t="s">
        <v>2481</v>
      </c>
      <c r="E1005" s="8" t="s">
        <v>2502</v>
      </c>
      <c r="F1005" s="9">
        <v>43283</v>
      </c>
      <c r="G1005" s="10">
        <f t="shared" ca="1" si="15"/>
        <v>7.4273972602739722</v>
      </c>
    </row>
    <row r="1006" spans="1:7" x14ac:dyDescent="0.35">
      <c r="A1006" s="8">
        <v>100251</v>
      </c>
      <c r="B1006" s="8" t="s">
        <v>2503</v>
      </c>
      <c r="C1006" s="8" t="s">
        <v>2504</v>
      </c>
      <c r="D1006" s="8" t="s">
        <v>2481</v>
      </c>
      <c r="E1006" s="8" t="s">
        <v>2505</v>
      </c>
      <c r="F1006" s="9">
        <v>40182</v>
      </c>
      <c r="G1006" s="10">
        <f t="shared" ca="1" si="15"/>
        <v>15.923287671232877</v>
      </c>
    </row>
    <row r="1007" spans="1:7" x14ac:dyDescent="0.35">
      <c r="A1007" s="8">
        <v>100634</v>
      </c>
      <c r="B1007" s="8" t="s">
        <v>2506</v>
      </c>
      <c r="C1007" s="8" t="s">
        <v>2507</v>
      </c>
      <c r="D1007" s="8" t="s">
        <v>2481</v>
      </c>
      <c r="E1007" s="8" t="s">
        <v>2508</v>
      </c>
      <c r="F1007" s="9">
        <v>45586</v>
      </c>
      <c r="G1007" s="10">
        <f t="shared" ca="1" si="15"/>
        <v>1.1178082191780823</v>
      </c>
    </row>
    <row r="1008" spans="1:7" x14ac:dyDescent="0.35">
      <c r="A1008" s="8">
        <v>502093</v>
      </c>
      <c r="B1008" s="8" t="s">
        <v>2509</v>
      </c>
      <c r="C1008" s="8" t="s">
        <v>2510</v>
      </c>
      <c r="D1008" s="8" t="s">
        <v>2481</v>
      </c>
      <c r="E1008" s="8" t="s">
        <v>2511</v>
      </c>
      <c r="F1008" s="9">
        <v>45677</v>
      </c>
      <c r="G1008" s="10">
        <f t="shared" ca="1" si="15"/>
        <v>0.86849315068493149</v>
      </c>
    </row>
    <row r="1009" spans="1:7" x14ac:dyDescent="0.35">
      <c r="A1009" s="8">
        <v>100006</v>
      </c>
      <c r="B1009" s="8" t="s">
        <v>2512</v>
      </c>
      <c r="C1009" s="8" t="s">
        <v>2510</v>
      </c>
      <c r="D1009" s="8" t="s">
        <v>2481</v>
      </c>
      <c r="E1009" s="8" t="s">
        <v>2513</v>
      </c>
      <c r="F1009" s="9">
        <v>39783</v>
      </c>
      <c r="G1009" s="10">
        <f t="shared" ca="1" si="15"/>
        <v>17.016438356164382</v>
      </c>
    </row>
    <row r="1010" spans="1:7" x14ac:dyDescent="0.35">
      <c r="A1010" s="8">
        <v>501372</v>
      </c>
      <c r="B1010" s="8" t="s">
        <v>2514</v>
      </c>
      <c r="C1010" s="8" t="s">
        <v>2515</v>
      </c>
      <c r="D1010" s="8" t="s">
        <v>2481</v>
      </c>
      <c r="E1010" s="8" t="s">
        <v>2516</v>
      </c>
      <c r="F1010" s="9">
        <v>44683</v>
      </c>
      <c r="G1010" s="10">
        <f t="shared" ca="1" si="15"/>
        <v>3.591780821917808</v>
      </c>
    </row>
    <row r="1011" spans="1:7" x14ac:dyDescent="0.35">
      <c r="A1011" s="8">
        <v>501790</v>
      </c>
      <c r="B1011" s="8" t="s">
        <v>2517</v>
      </c>
      <c r="C1011" s="8" t="s">
        <v>2518</v>
      </c>
      <c r="D1011" s="8" t="s">
        <v>2481</v>
      </c>
      <c r="E1011" s="8" t="s">
        <v>2519</v>
      </c>
      <c r="F1011" s="9">
        <v>45355</v>
      </c>
      <c r="G1011" s="10">
        <f t="shared" ca="1" si="15"/>
        <v>1.7506849315068493</v>
      </c>
    </row>
    <row r="1012" spans="1:7" x14ac:dyDescent="0.35">
      <c r="A1012" s="8">
        <v>502131</v>
      </c>
      <c r="B1012" s="8" t="s">
        <v>2520</v>
      </c>
      <c r="C1012" s="8" t="s">
        <v>2498</v>
      </c>
      <c r="D1012" s="8" t="s">
        <v>2481</v>
      </c>
      <c r="E1012" s="8" t="s">
        <v>2521</v>
      </c>
      <c r="F1012" s="9">
        <v>45719</v>
      </c>
      <c r="G1012" s="10">
        <f t="shared" ca="1" si="15"/>
        <v>0.75342465753424659</v>
      </c>
    </row>
    <row r="1013" spans="1:7" x14ac:dyDescent="0.35">
      <c r="A1013" s="8">
        <v>500315</v>
      </c>
      <c r="B1013" s="8" t="s">
        <v>2522</v>
      </c>
      <c r="C1013" s="8" t="s">
        <v>2523</v>
      </c>
      <c r="D1013" s="8" t="s">
        <v>2481</v>
      </c>
      <c r="E1013" s="8" t="s">
        <v>2524</v>
      </c>
      <c r="F1013" s="9">
        <v>43073</v>
      </c>
      <c r="G1013" s="10">
        <f t="shared" ca="1" si="15"/>
        <v>8.0027397260273965</v>
      </c>
    </row>
    <row r="1014" spans="1:7" x14ac:dyDescent="0.35">
      <c r="A1014" s="8">
        <v>101560</v>
      </c>
      <c r="B1014" s="8" t="s">
        <v>2525</v>
      </c>
      <c r="C1014" s="8" t="s">
        <v>2526</v>
      </c>
      <c r="D1014" s="8" t="s">
        <v>2481</v>
      </c>
      <c r="E1014" s="8" t="s">
        <v>2527</v>
      </c>
      <c r="F1014" s="9">
        <v>42445</v>
      </c>
      <c r="G1014" s="10">
        <f t="shared" ca="1" si="15"/>
        <v>9.7232876712328764</v>
      </c>
    </row>
    <row r="1015" spans="1:7" x14ac:dyDescent="0.35">
      <c r="A1015" s="8">
        <v>501807</v>
      </c>
      <c r="B1015" s="8" t="s">
        <v>2528</v>
      </c>
      <c r="C1015" s="8" t="s">
        <v>2529</v>
      </c>
      <c r="D1015" s="8" t="s">
        <v>2481</v>
      </c>
      <c r="E1015" s="8" t="s">
        <v>2530</v>
      </c>
      <c r="F1015" s="9">
        <v>45383</v>
      </c>
      <c r="G1015" s="10">
        <f t="shared" ca="1" si="15"/>
        <v>1.6739726027397259</v>
      </c>
    </row>
    <row r="1016" spans="1:7" x14ac:dyDescent="0.35">
      <c r="A1016" s="8">
        <v>501861</v>
      </c>
      <c r="B1016" s="8" t="s">
        <v>2531</v>
      </c>
      <c r="C1016" s="8" t="s">
        <v>2510</v>
      </c>
      <c r="D1016" s="8" t="s">
        <v>2481</v>
      </c>
      <c r="E1016" s="8" t="s">
        <v>2532</v>
      </c>
      <c r="F1016" s="9">
        <v>45446</v>
      </c>
      <c r="G1016" s="10">
        <f t="shared" ca="1" si="15"/>
        <v>1.5013698630136987</v>
      </c>
    </row>
    <row r="1017" spans="1:7" x14ac:dyDescent="0.35">
      <c r="A1017" s="8">
        <v>502195</v>
      </c>
      <c r="B1017" s="8" t="s">
        <v>2533</v>
      </c>
      <c r="C1017" s="8" t="s">
        <v>2534</v>
      </c>
      <c r="D1017" s="8" t="s">
        <v>2481</v>
      </c>
      <c r="E1017" s="8" t="s">
        <v>2535</v>
      </c>
      <c r="F1017" s="9">
        <v>45782</v>
      </c>
      <c r="G1017" s="10">
        <f t="shared" ca="1" si="15"/>
        <v>0.58082191780821912</v>
      </c>
    </row>
    <row r="1018" spans="1:7" x14ac:dyDescent="0.35">
      <c r="A1018" s="8">
        <v>501943</v>
      </c>
      <c r="B1018" s="8" t="s">
        <v>2536</v>
      </c>
      <c r="C1018" s="8" t="s">
        <v>2510</v>
      </c>
      <c r="D1018" s="8" t="s">
        <v>2481</v>
      </c>
      <c r="E1018" s="8" t="s">
        <v>2537</v>
      </c>
      <c r="F1018" s="9">
        <v>45530</v>
      </c>
      <c r="G1018" s="10">
        <f t="shared" ca="1" si="15"/>
        <v>1.2712328767123289</v>
      </c>
    </row>
    <row r="1019" spans="1:7" x14ac:dyDescent="0.35">
      <c r="A1019" s="8">
        <v>100388</v>
      </c>
      <c r="B1019" s="8" t="s">
        <v>2538</v>
      </c>
      <c r="C1019" s="8" t="s">
        <v>2507</v>
      </c>
      <c r="D1019" s="8" t="s">
        <v>2481</v>
      </c>
      <c r="E1019" s="8" t="s">
        <v>2539</v>
      </c>
      <c r="F1019" s="9">
        <v>40441</v>
      </c>
      <c r="G1019" s="10">
        <f t="shared" ca="1" si="15"/>
        <v>15.213698630136987</v>
      </c>
    </row>
    <row r="1020" spans="1:7" x14ac:dyDescent="0.35">
      <c r="A1020" s="8">
        <v>500919</v>
      </c>
      <c r="B1020" s="8" t="s">
        <v>2540</v>
      </c>
      <c r="C1020" s="8" t="s">
        <v>2541</v>
      </c>
      <c r="D1020" s="8" t="s">
        <v>2481</v>
      </c>
      <c r="E1020" s="8" t="s">
        <v>2542</v>
      </c>
      <c r="F1020" s="9">
        <v>43922</v>
      </c>
      <c r="G1020" s="10">
        <f t="shared" ca="1" si="15"/>
        <v>5.6767123287671231</v>
      </c>
    </row>
    <row r="1021" spans="1:7" x14ac:dyDescent="0.35">
      <c r="A1021" s="8">
        <v>1731</v>
      </c>
      <c r="B1021" s="8" t="s">
        <v>2543</v>
      </c>
      <c r="C1021" s="8" t="s">
        <v>2544</v>
      </c>
      <c r="D1021" s="8" t="s">
        <v>2481</v>
      </c>
      <c r="E1021" s="8" t="s">
        <v>2545</v>
      </c>
      <c r="F1021" s="9">
        <v>42782</v>
      </c>
      <c r="G1021" s="10">
        <f t="shared" ca="1" si="15"/>
        <v>8.8000000000000007</v>
      </c>
    </row>
    <row r="1022" spans="1:7" x14ac:dyDescent="0.35">
      <c r="A1022" s="8">
        <v>101065</v>
      </c>
      <c r="B1022" s="8" t="s">
        <v>2546</v>
      </c>
      <c r="C1022" s="8" t="s">
        <v>2510</v>
      </c>
      <c r="D1022" s="8" t="s">
        <v>2481</v>
      </c>
      <c r="E1022" s="8" t="s">
        <v>2547</v>
      </c>
      <c r="F1022" s="9">
        <v>41750</v>
      </c>
      <c r="G1022" s="10">
        <f t="shared" ca="1" si="15"/>
        <v>11.627397260273973</v>
      </c>
    </row>
    <row r="1023" spans="1:7" x14ac:dyDescent="0.35">
      <c r="A1023" s="8">
        <v>987</v>
      </c>
      <c r="B1023" s="8" t="s">
        <v>2548</v>
      </c>
      <c r="C1023" s="8" t="s">
        <v>2549</v>
      </c>
      <c r="D1023" s="8" t="s">
        <v>2481</v>
      </c>
      <c r="E1023" s="8" t="s">
        <v>2550</v>
      </c>
      <c r="F1023" s="9">
        <v>39678</v>
      </c>
      <c r="G1023" s="10">
        <f t="shared" ca="1" si="15"/>
        <v>17.304109589041097</v>
      </c>
    </row>
    <row r="1024" spans="1:7" x14ac:dyDescent="0.35">
      <c r="A1024" s="8">
        <v>101244</v>
      </c>
      <c r="B1024" s="8" t="s">
        <v>2551</v>
      </c>
      <c r="C1024" s="8" t="s">
        <v>2552</v>
      </c>
      <c r="D1024" s="8" t="s">
        <v>2481</v>
      </c>
      <c r="E1024" s="8" t="s">
        <v>2553</v>
      </c>
      <c r="F1024" s="9">
        <v>45446</v>
      </c>
      <c r="G1024" s="10">
        <f t="shared" ca="1" si="15"/>
        <v>1.5013698630136987</v>
      </c>
    </row>
    <row r="1025" spans="1:7" x14ac:dyDescent="0.35">
      <c r="A1025" s="8">
        <v>501985</v>
      </c>
      <c r="B1025" s="8" t="s">
        <v>2554</v>
      </c>
      <c r="C1025" s="8" t="s">
        <v>2555</v>
      </c>
      <c r="D1025" s="8" t="s">
        <v>2481</v>
      </c>
      <c r="E1025" s="8" t="s">
        <v>2556</v>
      </c>
      <c r="F1025" s="9">
        <v>45567</v>
      </c>
      <c r="G1025" s="10">
        <f t="shared" ca="1" si="15"/>
        <v>1.1698630136986301</v>
      </c>
    </row>
    <row r="1026" spans="1:7" x14ac:dyDescent="0.35">
      <c r="A1026" s="8">
        <v>428</v>
      </c>
      <c r="B1026" s="8" t="s">
        <v>2557</v>
      </c>
      <c r="C1026" s="8" t="s">
        <v>2558</v>
      </c>
      <c r="D1026" s="8" t="s">
        <v>2481</v>
      </c>
      <c r="E1026" s="8" t="s">
        <v>2559</v>
      </c>
      <c r="F1026" s="9">
        <v>39342</v>
      </c>
      <c r="G1026" s="10">
        <f t="shared" ca="1" si="15"/>
        <v>18.224657534246575</v>
      </c>
    </row>
    <row r="1027" spans="1:7" x14ac:dyDescent="0.35">
      <c r="A1027" s="8">
        <v>101413</v>
      </c>
      <c r="B1027" s="8" t="s">
        <v>2560</v>
      </c>
      <c r="C1027" s="8" t="s">
        <v>2561</v>
      </c>
      <c r="D1027" s="8" t="s">
        <v>2481</v>
      </c>
      <c r="E1027" s="8" t="s">
        <v>2562</v>
      </c>
      <c r="F1027" s="9">
        <v>42248</v>
      </c>
      <c r="G1027" s="10">
        <f t="shared" ca="1" si="15"/>
        <v>10.263013698630138</v>
      </c>
    </row>
    <row r="1028" spans="1:7" x14ac:dyDescent="0.35">
      <c r="A1028" s="8">
        <v>100102</v>
      </c>
      <c r="B1028" s="8" t="s">
        <v>2563</v>
      </c>
      <c r="C1028" s="8" t="s">
        <v>2564</v>
      </c>
      <c r="D1028" s="8" t="s">
        <v>2481</v>
      </c>
      <c r="E1028" s="8" t="s">
        <v>2565</v>
      </c>
      <c r="F1028" s="9">
        <v>39951</v>
      </c>
      <c r="G1028" s="10">
        <f t="shared" ca="1" si="15"/>
        <v>16.556164383561644</v>
      </c>
    </row>
    <row r="1029" spans="1:7" x14ac:dyDescent="0.35">
      <c r="A1029" s="8">
        <v>501921</v>
      </c>
      <c r="B1029" s="8" t="s">
        <v>2566</v>
      </c>
      <c r="C1029" s="8" t="s">
        <v>2567</v>
      </c>
      <c r="D1029" s="8" t="s">
        <v>2481</v>
      </c>
      <c r="E1029" s="8" t="s">
        <v>2568</v>
      </c>
      <c r="F1029" s="9">
        <v>45509</v>
      </c>
      <c r="G1029" s="10">
        <f t="shared" ref="G1029:G1092" ca="1" si="16">($G$1-F1029)/365</f>
        <v>1.3287671232876712</v>
      </c>
    </row>
    <row r="1030" spans="1:7" x14ac:dyDescent="0.35">
      <c r="A1030" s="8">
        <v>502246</v>
      </c>
      <c r="B1030" s="8" t="s">
        <v>2569</v>
      </c>
      <c r="C1030" s="8" t="s">
        <v>2570</v>
      </c>
      <c r="D1030" s="8" t="s">
        <v>2481</v>
      </c>
      <c r="E1030" s="8" t="s">
        <v>2571</v>
      </c>
      <c r="F1030" s="9">
        <v>45824</v>
      </c>
      <c r="G1030" s="10">
        <f t="shared" ca="1" si="16"/>
        <v>0.46575342465753422</v>
      </c>
    </row>
    <row r="1031" spans="1:7" x14ac:dyDescent="0.35">
      <c r="A1031" s="8">
        <v>502128</v>
      </c>
      <c r="B1031" s="8" t="s">
        <v>2572</v>
      </c>
      <c r="C1031" s="8" t="s">
        <v>2573</v>
      </c>
      <c r="D1031" s="8" t="s">
        <v>2481</v>
      </c>
      <c r="E1031" s="8" t="s">
        <v>2574</v>
      </c>
      <c r="F1031" s="9">
        <v>45719</v>
      </c>
      <c r="G1031" s="10">
        <f t="shared" ca="1" si="16"/>
        <v>0.75342465753424659</v>
      </c>
    </row>
    <row r="1032" spans="1:7" x14ac:dyDescent="0.35">
      <c r="A1032" s="8">
        <v>501386</v>
      </c>
      <c r="B1032" s="8" t="s">
        <v>2575</v>
      </c>
      <c r="C1032" s="8" t="s">
        <v>2576</v>
      </c>
      <c r="D1032" s="8" t="s">
        <v>2577</v>
      </c>
      <c r="E1032" s="8" t="s">
        <v>2578</v>
      </c>
      <c r="F1032" s="9">
        <v>44687</v>
      </c>
      <c r="G1032" s="10">
        <f t="shared" ca="1" si="16"/>
        <v>3.580821917808219</v>
      </c>
    </row>
    <row r="1033" spans="1:7" x14ac:dyDescent="0.35">
      <c r="A1033" s="8">
        <v>501380</v>
      </c>
      <c r="B1033" s="8" t="s">
        <v>2579</v>
      </c>
      <c r="C1033" s="8" t="s">
        <v>800</v>
      </c>
      <c r="D1033" s="8" t="s">
        <v>2577</v>
      </c>
      <c r="E1033" s="8" t="s">
        <v>2580</v>
      </c>
      <c r="F1033" s="9">
        <v>44683</v>
      </c>
      <c r="G1033" s="10">
        <f t="shared" ca="1" si="16"/>
        <v>3.591780821917808</v>
      </c>
    </row>
    <row r="1034" spans="1:7" x14ac:dyDescent="0.35">
      <c r="A1034" s="8">
        <v>501384</v>
      </c>
      <c r="B1034" s="8" t="s">
        <v>2581</v>
      </c>
      <c r="C1034" s="8" t="s">
        <v>803</v>
      </c>
      <c r="D1034" s="8" t="s">
        <v>2577</v>
      </c>
      <c r="E1034" s="8" t="s">
        <v>14</v>
      </c>
      <c r="F1034" s="9">
        <v>44683</v>
      </c>
      <c r="G1034" s="10">
        <f t="shared" ca="1" si="16"/>
        <v>3.591780821917808</v>
      </c>
    </row>
    <row r="1035" spans="1:7" x14ac:dyDescent="0.35">
      <c r="A1035" s="8">
        <v>235</v>
      </c>
      <c r="B1035" s="8" t="s">
        <v>2582</v>
      </c>
      <c r="C1035" s="8" t="s">
        <v>2583</v>
      </c>
      <c r="D1035" s="8" t="s">
        <v>2577</v>
      </c>
      <c r="E1035" s="8" t="s">
        <v>2584</v>
      </c>
      <c r="F1035" s="9">
        <v>39098</v>
      </c>
      <c r="G1035" s="10">
        <f t="shared" ca="1" si="16"/>
        <v>18.893150684931506</v>
      </c>
    </row>
    <row r="1036" spans="1:7" x14ac:dyDescent="0.35">
      <c r="A1036" s="8">
        <v>500962</v>
      </c>
      <c r="B1036" s="8" t="s">
        <v>2585</v>
      </c>
      <c r="C1036" s="8" t="s">
        <v>2586</v>
      </c>
      <c r="D1036" s="8" t="s">
        <v>2577</v>
      </c>
      <c r="E1036" s="8" t="s">
        <v>2587</v>
      </c>
      <c r="F1036" s="9">
        <v>44166</v>
      </c>
      <c r="G1036" s="10">
        <f t="shared" ca="1" si="16"/>
        <v>5.0082191780821921</v>
      </c>
    </row>
    <row r="1037" spans="1:7" x14ac:dyDescent="0.35">
      <c r="A1037" s="8">
        <v>100672</v>
      </c>
      <c r="B1037" s="8" t="s">
        <v>2588</v>
      </c>
      <c r="C1037" s="8" t="s">
        <v>2589</v>
      </c>
      <c r="D1037" s="8" t="s">
        <v>2577</v>
      </c>
      <c r="E1037" s="8" t="s">
        <v>2590</v>
      </c>
      <c r="F1037" s="9">
        <v>41015</v>
      </c>
      <c r="G1037" s="10">
        <f t="shared" ca="1" si="16"/>
        <v>13.641095890410959</v>
      </c>
    </row>
    <row r="1038" spans="1:7" x14ac:dyDescent="0.35">
      <c r="A1038" s="8">
        <v>501218</v>
      </c>
      <c r="B1038" s="8" t="s">
        <v>2591</v>
      </c>
      <c r="C1038" s="8" t="s">
        <v>2592</v>
      </c>
      <c r="D1038" s="8" t="s">
        <v>2577</v>
      </c>
      <c r="E1038" s="8" t="s">
        <v>14</v>
      </c>
      <c r="F1038" s="9">
        <v>44368</v>
      </c>
      <c r="G1038" s="10">
        <f t="shared" ca="1" si="16"/>
        <v>4.4547945205479449</v>
      </c>
    </row>
    <row r="1039" spans="1:7" x14ac:dyDescent="0.35">
      <c r="A1039" s="8">
        <v>101667</v>
      </c>
      <c r="B1039" s="8" t="s">
        <v>2593</v>
      </c>
      <c r="C1039" s="8" t="s">
        <v>2592</v>
      </c>
      <c r="D1039" s="8" t="s">
        <v>2577</v>
      </c>
      <c r="E1039" s="8" t="s">
        <v>2594</v>
      </c>
      <c r="F1039" s="9">
        <v>42583</v>
      </c>
      <c r="G1039" s="10">
        <f t="shared" ca="1" si="16"/>
        <v>9.3452054794520549</v>
      </c>
    </row>
    <row r="1040" spans="1:7" x14ac:dyDescent="0.35">
      <c r="A1040" s="8">
        <v>1888</v>
      </c>
      <c r="B1040" s="8" t="s">
        <v>2595</v>
      </c>
      <c r="C1040" s="8" t="s">
        <v>2589</v>
      </c>
      <c r="D1040" s="8" t="s">
        <v>2577</v>
      </c>
      <c r="E1040" s="8" t="s">
        <v>2596</v>
      </c>
      <c r="F1040" s="9">
        <v>42948</v>
      </c>
      <c r="G1040" s="10">
        <f t="shared" ca="1" si="16"/>
        <v>8.3452054794520549</v>
      </c>
    </row>
    <row r="1041" spans="1:7" x14ac:dyDescent="0.35">
      <c r="A1041" s="8">
        <v>500652</v>
      </c>
      <c r="B1041" s="8" t="s">
        <v>2597</v>
      </c>
      <c r="C1041" s="8" t="s">
        <v>2592</v>
      </c>
      <c r="D1041" s="8" t="s">
        <v>2577</v>
      </c>
      <c r="E1041" s="8" t="s">
        <v>2598</v>
      </c>
      <c r="F1041" s="9">
        <v>43543</v>
      </c>
      <c r="G1041" s="10">
        <f t="shared" ca="1" si="16"/>
        <v>6.7150684931506852</v>
      </c>
    </row>
    <row r="1042" spans="1:7" x14ac:dyDescent="0.35">
      <c r="A1042" s="8">
        <v>101483</v>
      </c>
      <c r="B1042" s="8" t="s">
        <v>2599</v>
      </c>
      <c r="C1042" s="8" t="s">
        <v>2600</v>
      </c>
      <c r="D1042" s="8" t="s">
        <v>2577</v>
      </c>
      <c r="E1042" s="8" t="s">
        <v>2601</v>
      </c>
      <c r="F1042" s="9">
        <v>42339</v>
      </c>
      <c r="G1042" s="10">
        <f t="shared" ca="1" si="16"/>
        <v>10.013698630136986</v>
      </c>
    </row>
    <row r="1043" spans="1:7" x14ac:dyDescent="0.35">
      <c r="A1043" s="8">
        <v>101109</v>
      </c>
      <c r="B1043" s="8" t="s">
        <v>2602</v>
      </c>
      <c r="C1043" s="8" t="s">
        <v>2600</v>
      </c>
      <c r="D1043" s="8" t="s">
        <v>2577</v>
      </c>
      <c r="E1043" s="8" t="s">
        <v>2603</v>
      </c>
      <c r="F1043" s="9">
        <v>41806</v>
      </c>
      <c r="G1043" s="10">
        <f t="shared" ca="1" si="16"/>
        <v>11.473972602739726</v>
      </c>
    </row>
    <row r="1044" spans="1:7" x14ac:dyDescent="0.35">
      <c r="A1044" s="5">
        <v>502503</v>
      </c>
      <c r="B1044" s="5" t="s">
        <v>2604</v>
      </c>
      <c r="C1044" s="5" t="s">
        <v>2605</v>
      </c>
      <c r="D1044" s="5" t="s">
        <v>2577</v>
      </c>
      <c r="E1044" s="5" t="s">
        <v>2606</v>
      </c>
      <c r="F1044" s="6">
        <v>45931</v>
      </c>
      <c r="G1044" s="7">
        <f t="shared" ca="1" si="16"/>
        <v>0.17260273972602741</v>
      </c>
    </row>
    <row r="1045" spans="1:7" x14ac:dyDescent="0.35">
      <c r="A1045" s="8">
        <v>502209</v>
      </c>
      <c r="B1045" s="8" t="s">
        <v>2607</v>
      </c>
      <c r="C1045" s="8" t="s">
        <v>2608</v>
      </c>
      <c r="D1045" s="8" t="s">
        <v>2577</v>
      </c>
      <c r="E1045" s="8" t="s">
        <v>2609</v>
      </c>
      <c r="F1045" s="9">
        <v>45796</v>
      </c>
      <c r="G1045" s="10">
        <f t="shared" ca="1" si="16"/>
        <v>0.54246575342465753</v>
      </c>
    </row>
    <row r="1046" spans="1:7" x14ac:dyDescent="0.35">
      <c r="A1046" s="5">
        <v>502508</v>
      </c>
      <c r="B1046" s="5" t="s">
        <v>2610</v>
      </c>
      <c r="C1046" s="5" t="s">
        <v>2611</v>
      </c>
      <c r="D1046" s="5" t="s">
        <v>2577</v>
      </c>
      <c r="E1046" s="5" t="s">
        <v>2612</v>
      </c>
      <c r="F1046" s="6">
        <v>45936</v>
      </c>
      <c r="G1046" s="7">
        <f t="shared" ca="1" si="16"/>
        <v>0.15890410958904111</v>
      </c>
    </row>
    <row r="1047" spans="1:7" x14ac:dyDescent="0.35">
      <c r="A1047" s="8">
        <v>501377</v>
      </c>
      <c r="B1047" s="8" t="s">
        <v>2613</v>
      </c>
      <c r="C1047" s="8" t="s">
        <v>2614</v>
      </c>
      <c r="D1047" s="8" t="s">
        <v>2577</v>
      </c>
      <c r="E1047" s="8" t="s">
        <v>2615</v>
      </c>
      <c r="F1047" s="9">
        <v>44683</v>
      </c>
      <c r="G1047" s="10">
        <f t="shared" ca="1" si="16"/>
        <v>3.591780821917808</v>
      </c>
    </row>
    <row r="1048" spans="1:7" x14ac:dyDescent="0.35">
      <c r="A1048" s="8">
        <v>501627</v>
      </c>
      <c r="B1048" s="8" t="s">
        <v>2616</v>
      </c>
      <c r="C1048" s="8" t="s">
        <v>2617</v>
      </c>
      <c r="D1048" s="8" t="s">
        <v>2577</v>
      </c>
      <c r="E1048" s="8" t="s">
        <v>2618</v>
      </c>
      <c r="F1048" s="9">
        <v>45110</v>
      </c>
      <c r="G1048" s="10">
        <f t="shared" ca="1" si="16"/>
        <v>2.4219178082191779</v>
      </c>
    </row>
    <row r="1049" spans="1:7" x14ac:dyDescent="0.35">
      <c r="A1049" s="8">
        <v>100903</v>
      </c>
      <c r="B1049" s="8" t="s">
        <v>2619</v>
      </c>
      <c r="C1049" s="8" t="s">
        <v>2620</v>
      </c>
      <c r="D1049" s="8" t="s">
        <v>2577</v>
      </c>
      <c r="E1049" s="8" t="s">
        <v>2621</v>
      </c>
      <c r="F1049" s="9">
        <v>41442</v>
      </c>
      <c r="G1049" s="10">
        <f t="shared" ca="1" si="16"/>
        <v>12.471232876712328</v>
      </c>
    </row>
    <row r="1050" spans="1:7" x14ac:dyDescent="0.35">
      <c r="A1050" s="8">
        <v>500584</v>
      </c>
      <c r="B1050" s="8" t="s">
        <v>2622</v>
      </c>
      <c r="C1050" s="8" t="s">
        <v>2623</v>
      </c>
      <c r="D1050" s="8" t="s">
        <v>2577</v>
      </c>
      <c r="E1050" s="8" t="s">
        <v>2624</v>
      </c>
      <c r="F1050" s="9">
        <v>43424</v>
      </c>
      <c r="G1050" s="10">
        <f t="shared" ca="1" si="16"/>
        <v>7.0410958904109586</v>
      </c>
    </row>
    <row r="1051" spans="1:7" x14ac:dyDescent="0.35">
      <c r="A1051" s="8">
        <v>501789</v>
      </c>
      <c r="B1051" s="8" t="s">
        <v>2625</v>
      </c>
      <c r="C1051" s="8" t="s">
        <v>2534</v>
      </c>
      <c r="D1051" s="8" t="s">
        <v>2577</v>
      </c>
      <c r="E1051" s="8" t="s">
        <v>2626</v>
      </c>
      <c r="F1051" s="9">
        <v>45355</v>
      </c>
      <c r="G1051" s="10">
        <f t="shared" ca="1" si="16"/>
        <v>1.7506849315068493</v>
      </c>
    </row>
    <row r="1052" spans="1:7" x14ac:dyDescent="0.35">
      <c r="A1052" s="5">
        <v>502480</v>
      </c>
      <c r="B1052" s="5" t="s">
        <v>2627</v>
      </c>
      <c r="C1052" s="5" t="s">
        <v>2628</v>
      </c>
      <c r="D1052" s="5" t="s">
        <v>2577</v>
      </c>
      <c r="E1052" s="5" t="s">
        <v>2629</v>
      </c>
      <c r="F1052" s="6">
        <v>45917</v>
      </c>
      <c r="G1052" s="7">
        <f t="shared" ca="1" si="16"/>
        <v>0.21095890410958903</v>
      </c>
    </row>
    <row r="1053" spans="1:7" x14ac:dyDescent="0.35">
      <c r="A1053" s="8">
        <v>501794</v>
      </c>
      <c r="B1053" s="8" t="s">
        <v>2630</v>
      </c>
      <c r="C1053" s="8" t="s">
        <v>2631</v>
      </c>
      <c r="D1053" s="8" t="s">
        <v>2577</v>
      </c>
      <c r="E1053" s="8" t="s">
        <v>2632</v>
      </c>
      <c r="F1053" s="9">
        <v>45355</v>
      </c>
      <c r="G1053" s="10">
        <f t="shared" ca="1" si="16"/>
        <v>1.7506849315068493</v>
      </c>
    </row>
    <row r="1054" spans="1:7" x14ac:dyDescent="0.35">
      <c r="A1054" s="8">
        <v>501955</v>
      </c>
      <c r="B1054" s="8" t="s">
        <v>2633</v>
      </c>
      <c r="C1054" s="8" t="s">
        <v>2634</v>
      </c>
      <c r="D1054" s="8" t="s">
        <v>2577</v>
      </c>
      <c r="E1054" s="8" t="s">
        <v>2635</v>
      </c>
      <c r="F1054" s="9">
        <v>45537</v>
      </c>
      <c r="G1054" s="10">
        <f t="shared" ca="1" si="16"/>
        <v>1.252054794520548</v>
      </c>
    </row>
    <row r="1055" spans="1:7" x14ac:dyDescent="0.35">
      <c r="A1055" s="8">
        <v>501953</v>
      </c>
      <c r="B1055" s="8" t="s">
        <v>2636</v>
      </c>
      <c r="C1055" s="8" t="s">
        <v>2637</v>
      </c>
      <c r="D1055" s="8" t="s">
        <v>2577</v>
      </c>
      <c r="E1055" s="8" t="s">
        <v>2638</v>
      </c>
      <c r="F1055" s="9">
        <v>45537</v>
      </c>
      <c r="G1055" s="10">
        <f t="shared" ca="1" si="16"/>
        <v>1.252054794520548</v>
      </c>
    </row>
    <row r="1056" spans="1:7" x14ac:dyDescent="0.35">
      <c r="A1056" s="8">
        <v>501977</v>
      </c>
      <c r="B1056" s="8" t="s">
        <v>2639</v>
      </c>
      <c r="C1056" s="8" t="s">
        <v>2640</v>
      </c>
      <c r="D1056" s="8" t="s">
        <v>2577</v>
      </c>
      <c r="E1056" s="8" t="s">
        <v>2641</v>
      </c>
      <c r="F1056" s="9">
        <v>45552</v>
      </c>
      <c r="G1056" s="10">
        <f t="shared" ca="1" si="16"/>
        <v>1.210958904109589</v>
      </c>
    </row>
    <row r="1057" spans="1:7" x14ac:dyDescent="0.35">
      <c r="A1057" s="8">
        <v>502107</v>
      </c>
      <c r="B1057" s="8" t="s">
        <v>2642</v>
      </c>
      <c r="C1057" s="8" t="s">
        <v>2634</v>
      </c>
      <c r="D1057" s="8" t="s">
        <v>2577</v>
      </c>
      <c r="E1057" s="8" t="s">
        <v>2643</v>
      </c>
      <c r="F1057" s="9">
        <v>45692</v>
      </c>
      <c r="G1057" s="10">
        <f t="shared" ca="1" si="16"/>
        <v>0.82739726027397265</v>
      </c>
    </row>
    <row r="1058" spans="1:7" x14ac:dyDescent="0.35">
      <c r="A1058" s="8">
        <v>502088</v>
      </c>
      <c r="B1058" s="8" t="s">
        <v>2644</v>
      </c>
      <c r="C1058" s="8" t="s">
        <v>2645</v>
      </c>
      <c r="D1058" s="8" t="s">
        <v>2577</v>
      </c>
      <c r="E1058" s="8" t="s">
        <v>2646</v>
      </c>
      <c r="F1058" s="9">
        <v>45673</v>
      </c>
      <c r="G1058" s="10">
        <f t="shared" ca="1" si="16"/>
        <v>0.8794520547945206</v>
      </c>
    </row>
    <row r="1059" spans="1:7" x14ac:dyDescent="0.35">
      <c r="A1059" s="8">
        <v>502040</v>
      </c>
      <c r="B1059" s="8" t="s">
        <v>2647</v>
      </c>
      <c r="C1059" s="8" t="s">
        <v>2648</v>
      </c>
      <c r="D1059" s="8" t="s">
        <v>2577</v>
      </c>
      <c r="E1059" s="8" t="s">
        <v>2649</v>
      </c>
      <c r="F1059" s="9">
        <v>45615</v>
      </c>
      <c r="G1059" s="10">
        <f t="shared" ca="1" si="16"/>
        <v>1.0383561643835617</v>
      </c>
    </row>
    <row r="1060" spans="1:7" x14ac:dyDescent="0.35">
      <c r="A1060" s="8">
        <v>501374</v>
      </c>
      <c r="B1060" s="8" t="s">
        <v>2650</v>
      </c>
      <c r="C1060" s="8" t="s">
        <v>2651</v>
      </c>
      <c r="D1060" s="8" t="s">
        <v>2577</v>
      </c>
      <c r="E1060" s="8" t="s">
        <v>2652</v>
      </c>
      <c r="F1060" s="9">
        <v>44683</v>
      </c>
      <c r="G1060" s="10">
        <f t="shared" ca="1" si="16"/>
        <v>3.591780821917808</v>
      </c>
    </row>
    <row r="1061" spans="1:7" x14ac:dyDescent="0.35">
      <c r="A1061" s="5">
        <v>502484</v>
      </c>
      <c r="B1061" s="5" t="s">
        <v>2653</v>
      </c>
      <c r="C1061" s="5" t="s">
        <v>2648</v>
      </c>
      <c r="D1061" s="5" t="s">
        <v>2577</v>
      </c>
      <c r="E1061" s="5" t="s">
        <v>2654</v>
      </c>
      <c r="F1061" s="6">
        <v>45922</v>
      </c>
      <c r="G1061" s="7">
        <f t="shared" ca="1" si="16"/>
        <v>0.19726027397260273</v>
      </c>
    </row>
    <row r="1062" spans="1:7" x14ac:dyDescent="0.35">
      <c r="A1062" s="8">
        <v>501370</v>
      </c>
      <c r="B1062" s="8" t="s">
        <v>2655</v>
      </c>
      <c r="C1062" s="8" t="s">
        <v>2656</v>
      </c>
      <c r="D1062" s="8" t="s">
        <v>2577</v>
      </c>
      <c r="E1062" s="8" t="s">
        <v>2657</v>
      </c>
      <c r="F1062" s="9">
        <v>44683</v>
      </c>
      <c r="G1062" s="10">
        <f t="shared" ca="1" si="16"/>
        <v>3.591780821917808</v>
      </c>
    </row>
    <row r="1063" spans="1:7" x14ac:dyDescent="0.35">
      <c r="A1063" s="8">
        <v>501997</v>
      </c>
      <c r="B1063" s="8" t="s">
        <v>2658</v>
      </c>
      <c r="C1063" s="8" t="s">
        <v>2659</v>
      </c>
      <c r="D1063" s="8" t="s">
        <v>2577</v>
      </c>
      <c r="E1063" s="8" t="s">
        <v>2660</v>
      </c>
      <c r="F1063" s="9">
        <v>45572</v>
      </c>
      <c r="G1063" s="10">
        <f t="shared" ca="1" si="16"/>
        <v>1.1561643835616437</v>
      </c>
    </row>
    <row r="1064" spans="1:7" x14ac:dyDescent="0.35">
      <c r="A1064" s="8">
        <v>501892</v>
      </c>
      <c r="B1064" s="8" t="s">
        <v>2661</v>
      </c>
      <c r="C1064" s="8" t="s">
        <v>2648</v>
      </c>
      <c r="D1064" s="8" t="s">
        <v>2577</v>
      </c>
      <c r="E1064" s="8" t="s">
        <v>2662</v>
      </c>
      <c r="F1064" s="9">
        <v>45474</v>
      </c>
      <c r="G1064" s="10">
        <f t="shared" ca="1" si="16"/>
        <v>1.4246575342465753</v>
      </c>
    </row>
    <row r="1065" spans="1:7" x14ac:dyDescent="0.35">
      <c r="A1065" s="8">
        <v>501371</v>
      </c>
      <c r="B1065" s="8" t="s">
        <v>2663</v>
      </c>
      <c r="C1065" s="8" t="s">
        <v>2490</v>
      </c>
      <c r="D1065" s="8" t="s">
        <v>2577</v>
      </c>
      <c r="E1065" s="8" t="s">
        <v>2664</v>
      </c>
      <c r="F1065" s="9">
        <v>44683</v>
      </c>
      <c r="G1065" s="10">
        <f t="shared" ca="1" si="16"/>
        <v>3.591780821917808</v>
      </c>
    </row>
    <row r="1066" spans="1:7" x14ac:dyDescent="0.35">
      <c r="A1066" s="8">
        <v>501922</v>
      </c>
      <c r="B1066" s="8" t="s">
        <v>2665</v>
      </c>
      <c r="C1066" s="8" t="s">
        <v>2666</v>
      </c>
      <c r="D1066" s="8" t="s">
        <v>2577</v>
      </c>
      <c r="E1066" s="8" t="s">
        <v>2667</v>
      </c>
      <c r="F1066" s="9">
        <v>45509</v>
      </c>
      <c r="G1066" s="10">
        <f t="shared" ca="1" si="16"/>
        <v>1.3287671232876712</v>
      </c>
    </row>
    <row r="1067" spans="1:7" x14ac:dyDescent="0.35">
      <c r="A1067" s="8">
        <v>501256</v>
      </c>
      <c r="B1067" s="8" t="s">
        <v>2668</v>
      </c>
      <c r="C1067" s="8" t="s">
        <v>2493</v>
      </c>
      <c r="D1067" s="8" t="s">
        <v>2577</v>
      </c>
      <c r="E1067" s="8" t="s">
        <v>2669</v>
      </c>
      <c r="F1067" s="9">
        <v>44473</v>
      </c>
      <c r="G1067" s="10">
        <f t="shared" ca="1" si="16"/>
        <v>4.1671232876712327</v>
      </c>
    </row>
    <row r="1068" spans="1:7" x14ac:dyDescent="0.35">
      <c r="A1068" s="8">
        <v>501602</v>
      </c>
      <c r="B1068" s="8" t="s">
        <v>2670</v>
      </c>
      <c r="C1068" s="8" t="s">
        <v>2671</v>
      </c>
      <c r="D1068" s="8" t="s">
        <v>2577</v>
      </c>
      <c r="E1068" s="8" t="s">
        <v>2672</v>
      </c>
      <c r="F1068" s="9">
        <v>45078</v>
      </c>
      <c r="G1068" s="10">
        <f t="shared" ca="1" si="16"/>
        <v>2.5095890410958903</v>
      </c>
    </row>
    <row r="1069" spans="1:7" x14ac:dyDescent="0.35">
      <c r="A1069" s="8">
        <v>502152</v>
      </c>
      <c r="B1069" s="8" t="s">
        <v>2673</v>
      </c>
      <c r="C1069" s="8" t="s">
        <v>2510</v>
      </c>
      <c r="D1069" s="8" t="s">
        <v>2577</v>
      </c>
      <c r="E1069" s="8" t="s">
        <v>2674</v>
      </c>
      <c r="F1069" s="9">
        <v>45754</v>
      </c>
      <c r="G1069" s="10">
        <f t="shared" ca="1" si="16"/>
        <v>0.65753424657534243</v>
      </c>
    </row>
    <row r="1070" spans="1:7" x14ac:dyDescent="0.35">
      <c r="A1070" s="8">
        <v>501967</v>
      </c>
      <c r="B1070" s="8" t="s">
        <v>2675</v>
      </c>
      <c r="C1070" s="8" t="s">
        <v>2507</v>
      </c>
      <c r="D1070" s="8" t="s">
        <v>2577</v>
      </c>
      <c r="E1070" s="8" t="s">
        <v>2676</v>
      </c>
      <c r="F1070" s="9">
        <v>45544</v>
      </c>
      <c r="G1070" s="10">
        <f t="shared" ca="1" si="16"/>
        <v>1.2328767123287672</v>
      </c>
    </row>
    <row r="1071" spans="1:7" x14ac:dyDescent="0.35">
      <c r="A1071" s="8">
        <v>502259</v>
      </c>
      <c r="B1071" s="8" t="s">
        <v>2677</v>
      </c>
      <c r="C1071" s="8" t="s">
        <v>2678</v>
      </c>
      <c r="D1071" s="8" t="s">
        <v>2577</v>
      </c>
      <c r="E1071" s="8" t="s">
        <v>2679</v>
      </c>
      <c r="F1071" s="9">
        <v>45839</v>
      </c>
      <c r="G1071" s="10">
        <f t="shared" ca="1" si="16"/>
        <v>0.42465753424657532</v>
      </c>
    </row>
    <row r="1072" spans="1:7" x14ac:dyDescent="0.35">
      <c r="A1072" s="5">
        <v>502537</v>
      </c>
      <c r="B1072" s="5" t="s">
        <v>2680</v>
      </c>
      <c r="C1072" s="5" t="s">
        <v>2681</v>
      </c>
      <c r="D1072" s="5" t="s">
        <v>2577</v>
      </c>
      <c r="E1072" s="5" t="s">
        <v>2682</v>
      </c>
      <c r="F1072" s="6">
        <v>45950</v>
      </c>
      <c r="G1072" s="7">
        <f t="shared" ca="1" si="16"/>
        <v>0.12054794520547946</v>
      </c>
    </row>
    <row r="1073" spans="1:7" x14ac:dyDescent="0.35">
      <c r="A1073" s="8">
        <v>502041</v>
      </c>
      <c r="B1073" s="8" t="s">
        <v>2683</v>
      </c>
      <c r="C1073" s="8" t="s">
        <v>2684</v>
      </c>
      <c r="D1073" s="8" t="s">
        <v>2577</v>
      </c>
      <c r="E1073" s="8" t="s">
        <v>2685</v>
      </c>
      <c r="F1073" s="9">
        <v>45615</v>
      </c>
      <c r="G1073" s="10">
        <f t="shared" ca="1" si="16"/>
        <v>1.0383561643835617</v>
      </c>
    </row>
    <row r="1074" spans="1:7" x14ac:dyDescent="0.35">
      <c r="A1074" s="8">
        <v>501446</v>
      </c>
      <c r="B1074" s="8" t="s">
        <v>2686</v>
      </c>
      <c r="C1074" s="8" t="s">
        <v>2687</v>
      </c>
      <c r="D1074" s="8" t="s">
        <v>2577</v>
      </c>
      <c r="E1074" s="8" t="s">
        <v>2688</v>
      </c>
      <c r="F1074" s="9">
        <v>44789</v>
      </c>
      <c r="G1074" s="10">
        <f t="shared" ca="1" si="16"/>
        <v>3.3013698630136985</v>
      </c>
    </row>
    <row r="1075" spans="1:7" x14ac:dyDescent="0.35">
      <c r="A1075" s="5">
        <v>502487</v>
      </c>
      <c r="B1075" s="5" t="s">
        <v>2689</v>
      </c>
      <c r="C1075" s="5" t="s">
        <v>2681</v>
      </c>
      <c r="D1075" s="5" t="s">
        <v>2577</v>
      </c>
      <c r="E1075" s="5" t="s">
        <v>2690</v>
      </c>
      <c r="F1075" s="6">
        <v>45922</v>
      </c>
      <c r="G1075" s="7">
        <f t="shared" ca="1" si="16"/>
        <v>0.19726027397260273</v>
      </c>
    </row>
    <row r="1076" spans="1:7" x14ac:dyDescent="0.35">
      <c r="A1076" s="8">
        <v>502015</v>
      </c>
      <c r="B1076" s="8" t="s">
        <v>2691</v>
      </c>
      <c r="C1076" s="8" t="s">
        <v>2692</v>
      </c>
      <c r="D1076" s="8" t="s">
        <v>2577</v>
      </c>
      <c r="E1076" s="8" t="s">
        <v>2693</v>
      </c>
      <c r="F1076" s="9">
        <v>45586</v>
      </c>
      <c r="G1076" s="10">
        <f t="shared" ca="1" si="16"/>
        <v>1.1178082191780823</v>
      </c>
    </row>
    <row r="1077" spans="1:7" x14ac:dyDescent="0.35">
      <c r="A1077" s="8">
        <v>501858</v>
      </c>
      <c r="B1077" s="8" t="s">
        <v>2694</v>
      </c>
      <c r="C1077" s="8" t="s">
        <v>2534</v>
      </c>
      <c r="D1077" s="8" t="s">
        <v>2577</v>
      </c>
      <c r="E1077" s="8" t="s">
        <v>2695</v>
      </c>
      <c r="F1077" s="9">
        <v>45446</v>
      </c>
      <c r="G1077" s="10">
        <f t="shared" ca="1" si="16"/>
        <v>1.5013698630136987</v>
      </c>
    </row>
    <row r="1078" spans="1:7" x14ac:dyDescent="0.35">
      <c r="A1078" s="8">
        <v>500855</v>
      </c>
      <c r="B1078" s="8" t="s">
        <v>2696</v>
      </c>
      <c r="C1078" s="8" t="s">
        <v>2534</v>
      </c>
      <c r="D1078" s="8" t="s">
        <v>2577</v>
      </c>
      <c r="E1078" s="8" t="s">
        <v>2697</v>
      </c>
      <c r="F1078" s="9">
        <v>43801</v>
      </c>
      <c r="G1078" s="10">
        <f t="shared" ca="1" si="16"/>
        <v>6.0082191780821921</v>
      </c>
    </row>
    <row r="1079" spans="1:7" x14ac:dyDescent="0.35">
      <c r="A1079" s="8">
        <v>501847</v>
      </c>
      <c r="B1079" s="8" t="s">
        <v>2698</v>
      </c>
      <c r="C1079" s="8" t="s">
        <v>2534</v>
      </c>
      <c r="D1079" s="8" t="s">
        <v>2577</v>
      </c>
      <c r="E1079" s="8" t="s">
        <v>2699</v>
      </c>
      <c r="F1079" s="9">
        <v>45428</v>
      </c>
      <c r="G1079" s="10">
        <f t="shared" ca="1" si="16"/>
        <v>1.5506849315068494</v>
      </c>
    </row>
    <row r="1080" spans="1:7" x14ac:dyDescent="0.35">
      <c r="A1080" s="8">
        <v>502114</v>
      </c>
      <c r="B1080" s="8" t="s">
        <v>2700</v>
      </c>
      <c r="C1080" s="8" t="s">
        <v>2701</v>
      </c>
      <c r="D1080" s="8" t="s">
        <v>2577</v>
      </c>
      <c r="E1080" s="8" t="s">
        <v>2702</v>
      </c>
      <c r="F1080" s="9">
        <v>45705</v>
      </c>
      <c r="G1080" s="10">
        <f t="shared" ca="1" si="16"/>
        <v>0.79178082191780819</v>
      </c>
    </row>
    <row r="1081" spans="1:7" x14ac:dyDescent="0.35">
      <c r="A1081" s="8">
        <v>502134</v>
      </c>
      <c r="B1081" s="8" t="s">
        <v>2703</v>
      </c>
      <c r="C1081" s="8" t="s">
        <v>2701</v>
      </c>
      <c r="D1081" s="8" t="s">
        <v>2577</v>
      </c>
      <c r="E1081" s="8" t="s">
        <v>2704</v>
      </c>
      <c r="F1081" s="9">
        <v>45734</v>
      </c>
      <c r="G1081" s="10">
        <f t="shared" ca="1" si="16"/>
        <v>0.71232876712328763</v>
      </c>
    </row>
    <row r="1082" spans="1:7" x14ac:dyDescent="0.35">
      <c r="A1082" s="5">
        <v>502492</v>
      </c>
      <c r="B1082" s="5" t="s">
        <v>2705</v>
      </c>
      <c r="C1082" s="5" t="s">
        <v>2701</v>
      </c>
      <c r="D1082" s="5" t="s">
        <v>2577</v>
      </c>
      <c r="E1082" s="5" t="s">
        <v>2706</v>
      </c>
      <c r="F1082" s="6">
        <v>45922</v>
      </c>
      <c r="G1082" s="7">
        <f t="shared" ca="1" si="16"/>
        <v>0.19726027397260273</v>
      </c>
    </row>
    <row r="1083" spans="1:7" x14ac:dyDescent="0.35">
      <c r="A1083" s="8">
        <v>502119</v>
      </c>
      <c r="B1083" s="8" t="s">
        <v>2707</v>
      </c>
      <c r="C1083" s="8" t="s">
        <v>2708</v>
      </c>
      <c r="D1083" s="8" t="s">
        <v>2577</v>
      </c>
      <c r="E1083" s="8" t="s">
        <v>2709</v>
      </c>
      <c r="F1083" s="9">
        <v>45705</v>
      </c>
      <c r="G1083" s="10">
        <f t="shared" ca="1" si="16"/>
        <v>0.79178082191780819</v>
      </c>
    </row>
    <row r="1084" spans="1:7" x14ac:dyDescent="0.35">
      <c r="A1084" s="8">
        <v>501457</v>
      </c>
      <c r="B1084" s="8" t="s">
        <v>2710</v>
      </c>
      <c r="C1084" s="8" t="s">
        <v>2711</v>
      </c>
      <c r="D1084" s="8" t="s">
        <v>2577</v>
      </c>
      <c r="E1084" s="8" t="s">
        <v>2712</v>
      </c>
      <c r="F1084" s="9">
        <v>44805</v>
      </c>
      <c r="G1084" s="10">
        <f t="shared" ca="1" si="16"/>
        <v>3.2575342465753425</v>
      </c>
    </row>
    <row r="1085" spans="1:7" x14ac:dyDescent="0.35">
      <c r="A1085" s="8">
        <v>500892</v>
      </c>
      <c r="B1085" s="8" t="s">
        <v>2713</v>
      </c>
      <c r="C1085" s="8" t="s">
        <v>2534</v>
      </c>
      <c r="D1085" s="8" t="s">
        <v>2577</v>
      </c>
      <c r="E1085" s="8" t="s">
        <v>2714</v>
      </c>
      <c r="F1085" s="9">
        <v>43878</v>
      </c>
      <c r="G1085" s="10">
        <f t="shared" ca="1" si="16"/>
        <v>5.7972602739726025</v>
      </c>
    </row>
    <row r="1086" spans="1:7" x14ac:dyDescent="0.35">
      <c r="A1086" s="8">
        <v>501862</v>
      </c>
      <c r="B1086" s="8" t="s">
        <v>2715</v>
      </c>
      <c r="C1086" s="8" t="s">
        <v>2534</v>
      </c>
      <c r="D1086" s="8" t="s">
        <v>2577</v>
      </c>
      <c r="E1086" s="8" t="s">
        <v>2716</v>
      </c>
      <c r="F1086" s="9">
        <v>45446</v>
      </c>
      <c r="G1086" s="10">
        <f t="shared" ca="1" si="16"/>
        <v>1.5013698630136987</v>
      </c>
    </row>
    <row r="1087" spans="1:7" x14ac:dyDescent="0.35">
      <c r="A1087" s="5">
        <v>502494</v>
      </c>
      <c r="B1087" s="5" t="s">
        <v>2717</v>
      </c>
      <c r="C1087" s="5" t="s">
        <v>2510</v>
      </c>
      <c r="D1087" s="5" t="s">
        <v>2577</v>
      </c>
      <c r="E1087" s="5" t="s">
        <v>2718</v>
      </c>
      <c r="F1087" s="6">
        <v>45922</v>
      </c>
      <c r="G1087" s="7">
        <f t="shared" ca="1" si="16"/>
        <v>0.19726027397260273</v>
      </c>
    </row>
    <row r="1088" spans="1:7" x14ac:dyDescent="0.35">
      <c r="A1088" s="8">
        <v>502375</v>
      </c>
      <c r="B1088" s="8" t="s">
        <v>2719</v>
      </c>
      <c r="C1088" s="8" t="s">
        <v>2534</v>
      </c>
      <c r="D1088" s="8" t="s">
        <v>2577</v>
      </c>
      <c r="E1088" s="8" t="s">
        <v>2720</v>
      </c>
      <c r="F1088" s="9">
        <v>45894</v>
      </c>
      <c r="G1088" s="10">
        <f t="shared" ca="1" si="16"/>
        <v>0.27397260273972601</v>
      </c>
    </row>
    <row r="1089" spans="1:7" x14ac:dyDescent="0.35">
      <c r="A1089" s="8">
        <v>501595</v>
      </c>
      <c r="B1089" s="8" t="s">
        <v>2721</v>
      </c>
      <c r="C1089" s="8" t="s">
        <v>2493</v>
      </c>
      <c r="D1089" s="8" t="s">
        <v>2577</v>
      </c>
      <c r="E1089" s="8" t="s">
        <v>2722</v>
      </c>
      <c r="F1089" s="9">
        <v>45062</v>
      </c>
      <c r="G1089" s="10">
        <f t="shared" ca="1" si="16"/>
        <v>2.5534246575342467</v>
      </c>
    </row>
    <row r="1090" spans="1:7" x14ac:dyDescent="0.35">
      <c r="A1090" s="8">
        <v>502095</v>
      </c>
      <c r="B1090" s="8" t="s">
        <v>2723</v>
      </c>
      <c r="C1090" s="8" t="s">
        <v>2724</v>
      </c>
      <c r="D1090" s="8" t="s">
        <v>2577</v>
      </c>
      <c r="E1090" s="8" t="s">
        <v>2725</v>
      </c>
      <c r="F1090" s="9">
        <v>45677</v>
      </c>
      <c r="G1090" s="10">
        <f t="shared" ca="1" si="16"/>
        <v>0.86849315068493149</v>
      </c>
    </row>
    <row r="1091" spans="1:7" x14ac:dyDescent="0.35">
      <c r="A1091" s="8">
        <v>501412</v>
      </c>
      <c r="B1091" s="8" t="s">
        <v>2726</v>
      </c>
      <c r="C1091" s="8" t="s">
        <v>2727</v>
      </c>
      <c r="D1091" s="8" t="s">
        <v>2577</v>
      </c>
      <c r="E1091" s="8" t="s">
        <v>2728</v>
      </c>
      <c r="F1091" s="9">
        <v>44728</v>
      </c>
      <c r="G1091" s="10">
        <f t="shared" ca="1" si="16"/>
        <v>3.4684931506849317</v>
      </c>
    </row>
    <row r="1092" spans="1:7" x14ac:dyDescent="0.35">
      <c r="A1092" s="8">
        <v>501625</v>
      </c>
      <c r="B1092" s="8" t="s">
        <v>2729</v>
      </c>
      <c r="C1092" s="8" t="s">
        <v>2727</v>
      </c>
      <c r="D1092" s="8" t="s">
        <v>2577</v>
      </c>
      <c r="E1092" s="8" t="s">
        <v>2730</v>
      </c>
      <c r="F1092" s="9">
        <v>45110</v>
      </c>
      <c r="G1092" s="10">
        <f t="shared" ca="1" si="16"/>
        <v>2.4219178082191779</v>
      </c>
    </row>
    <row r="1093" spans="1:7" x14ac:dyDescent="0.35">
      <c r="A1093" s="8">
        <v>288</v>
      </c>
      <c r="B1093" s="8" t="s">
        <v>2731</v>
      </c>
      <c r="C1093" s="8" t="s">
        <v>2732</v>
      </c>
      <c r="D1093" s="8" t="s">
        <v>2577</v>
      </c>
      <c r="E1093" s="8" t="s">
        <v>2733</v>
      </c>
      <c r="F1093" s="9">
        <v>39174</v>
      </c>
      <c r="G1093" s="10">
        <f t="shared" ref="G1093:G1156" ca="1" si="17">($G$1-F1093)/365</f>
        <v>18.684931506849313</v>
      </c>
    </row>
    <row r="1094" spans="1:7" x14ac:dyDescent="0.35">
      <c r="A1094" s="8">
        <v>100512</v>
      </c>
      <c r="B1094" s="8" t="s">
        <v>2734</v>
      </c>
      <c r="C1094" s="8" t="s">
        <v>2735</v>
      </c>
      <c r="D1094" s="8" t="s">
        <v>2577</v>
      </c>
      <c r="E1094" s="8" t="s">
        <v>2736</v>
      </c>
      <c r="F1094" s="9">
        <v>40710</v>
      </c>
      <c r="G1094" s="10">
        <f t="shared" ca="1" si="17"/>
        <v>14.476712328767123</v>
      </c>
    </row>
    <row r="1095" spans="1:7" x14ac:dyDescent="0.35">
      <c r="A1095" s="8">
        <v>501672</v>
      </c>
      <c r="B1095" s="8" t="s">
        <v>2737</v>
      </c>
      <c r="C1095" s="8" t="s">
        <v>2738</v>
      </c>
      <c r="D1095" s="8" t="s">
        <v>2577</v>
      </c>
      <c r="E1095" s="8" t="s">
        <v>2739</v>
      </c>
      <c r="F1095" s="9">
        <v>45159</v>
      </c>
      <c r="G1095" s="10">
        <f t="shared" ca="1" si="17"/>
        <v>2.2876712328767121</v>
      </c>
    </row>
    <row r="1096" spans="1:7" x14ac:dyDescent="0.35">
      <c r="A1096" s="8">
        <v>501783</v>
      </c>
      <c r="B1096" s="8" t="s">
        <v>2740</v>
      </c>
      <c r="C1096" s="8" t="s">
        <v>2738</v>
      </c>
      <c r="D1096" s="8" t="s">
        <v>2577</v>
      </c>
      <c r="E1096" s="8" t="s">
        <v>2741</v>
      </c>
      <c r="F1096" s="9">
        <v>45355</v>
      </c>
      <c r="G1096" s="10">
        <f t="shared" ca="1" si="17"/>
        <v>1.7506849315068493</v>
      </c>
    </row>
    <row r="1097" spans="1:7" x14ac:dyDescent="0.35">
      <c r="A1097" s="8">
        <v>501978</v>
      </c>
      <c r="B1097" s="8" t="s">
        <v>2742</v>
      </c>
      <c r="C1097" s="8" t="s">
        <v>2738</v>
      </c>
      <c r="D1097" s="8" t="s">
        <v>2577</v>
      </c>
      <c r="E1097" s="8" t="s">
        <v>2743</v>
      </c>
      <c r="F1097" s="9">
        <v>45552</v>
      </c>
      <c r="G1097" s="10">
        <f t="shared" ca="1" si="17"/>
        <v>1.210958904109589</v>
      </c>
    </row>
    <row r="1098" spans="1:7" x14ac:dyDescent="0.35">
      <c r="A1098" s="8">
        <v>501617</v>
      </c>
      <c r="B1098" s="8" t="s">
        <v>2744</v>
      </c>
      <c r="C1098" s="8" t="s">
        <v>2620</v>
      </c>
      <c r="D1098" s="8" t="s">
        <v>2577</v>
      </c>
      <c r="E1098" s="8" t="s">
        <v>2745</v>
      </c>
      <c r="F1098" s="9">
        <v>45096</v>
      </c>
      <c r="G1098" s="10">
        <f t="shared" ca="1" si="17"/>
        <v>2.4602739726027396</v>
      </c>
    </row>
    <row r="1099" spans="1:7" x14ac:dyDescent="0.35">
      <c r="A1099" s="8">
        <v>502178</v>
      </c>
      <c r="B1099" s="8" t="s">
        <v>2746</v>
      </c>
      <c r="C1099" s="8" t="s">
        <v>2747</v>
      </c>
      <c r="D1099" s="8" t="s">
        <v>2577</v>
      </c>
      <c r="E1099" s="8" t="s">
        <v>2748</v>
      </c>
      <c r="F1099" s="9">
        <v>45768</v>
      </c>
      <c r="G1099" s="10">
        <f t="shared" ca="1" si="17"/>
        <v>0.61917808219178083</v>
      </c>
    </row>
    <row r="1100" spans="1:7" x14ac:dyDescent="0.35">
      <c r="A1100" s="8">
        <v>502175</v>
      </c>
      <c r="B1100" s="8" t="s">
        <v>2749</v>
      </c>
      <c r="C1100" s="8" t="s">
        <v>2534</v>
      </c>
      <c r="D1100" s="8" t="s">
        <v>2577</v>
      </c>
      <c r="E1100" s="8" t="s">
        <v>2750</v>
      </c>
      <c r="F1100" s="9">
        <v>45768</v>
      </c>
      <c r="G1100" s="10">
        <f t="shared" ca="1" si="17"/>
        <v>0.61917808219178083</v>
      </c>
    </row>
    <row r="1101" spans="1:7" x14ac:dyDescent="0.35">
      <c r="A1101" s="8">
        <v>101022</v>
      </c>
      <c r="B1101" s="8" t="s">
        <v>2751</v>
      </c>
      <c r="C1101" s="8" t="s">
        <v>2752</v>
      </c>
      <c r="D1101" s="8" t="s">
        <v>2577</v>
      </c>
      <c r="E1101" s="8" t="s">
        <v>2753</v>
      </c>
      <c r="F1101" s="9">
        <v>45796</v>
      </c>
      <c r="G1101" s="10">
        <f t="shared" ca="1" si="17"/>
        <v>0.54246575342465753</v>
      </c>
    </row>
    <row r="1102" spans="1:7" x14ac:dyDescent="0.35">
      <c r="A1102" s="8">
        <v>500357</v>
      </c>
      <c r="B1102" s="8" t="s">
        <v>2754</v>
      </c>
      <c r="C1102" s="8" t="s">
        <v>2534</v>
      </c>
      <c r="D1102" s="8" t="s">
        <v>2577</v>
      </c>
      <c r="E1102" s="8" t="s">
        <v>2755</v>
      </c>
      <c r="F1102" s="9">
        <v>45782</v>
      </c>
      <c r="G1102" s="10">
        <f t="shared" ca="1" si="17"/>
        <v>0.58082191780821912</v>
      </c>
    </row>
    <row r="1103" spans="1:7" x14ac:dyDescent="0.35">
      <c r="A1103" s="8">
        <v>502306</v>
      </c>
      <c r="B1103" s="8" t="s">
        <v>2756</v>
      </c>
      <c r="C1103" s="8" t="s">
        <v>2747</v>
      </c>
      <c r="D1103" s="8" t="s">
        <v>2577</v>
      </c>
      <c r="E1103" s="8" t="s">
        <v>2757</v>
      </c>
      <c r="F1103" s="9">
        <v>45873</v>
      </c>
      <c r="G1103" s="10">
        <f t="shared" ca="1" si="17"/>
        <v>0.33150684931506852</v>
      </c>
    </row>
    <row r="1104" spans="1:7" x14ac:dyDescent="0.35">
      <c r="A1104" s="8">
        <v>500525</v>
      </c>
      <c r="B1104" s="8" t="s">
        <v>2758</v>
      </c>
      <c r="C1104" s="8" t="s">
        <v>2738</v>
      </c>
      <c r="D1104" s="8" t="s">
        <v>2577</v>
      </c>
      <c r="E1104" s="8" t="s">
        <v>2759</v>
      </c>
      <c r="F1104" s="9">
        <v>43360</v>
      </c>
      <c r="G1104" s="10">
        <f t="shared" ca="1" si="17"/>
        <v>7.2164383561643834</v>
      </c>
    </row>
    <row r="1105" spans="1:7" x14ac:dyDescent="0.35">
      <c r="A1105" s="8">
        <v>502292</v>
      </c>
      <c r="B1105" s="8" t="s">
        <v>2760</v>
      </c>
      <c r="C1105" s="8" t="s">
        <v>2747</v>
      </c>
      <c r="D1105" s="8" t="s">
        <v>2577</v>
      </c>
      <c r="E1105" s="8" t="s">
        <v>2761</v>
      </c>
      <c r="F1105" s="9">
        <v>45873</v>
      </c>
      <c r="G1105" s="10">
        <f t="shared" ca="1" si="17"/>
        <v>0.33150684931506852</v>
      </c>
    </row>
    <row r="1106" spans="1:7" x14ac:dyDescent="0.35">
      <c r="A1106" s="8">
        <v>501486</v>
      </c>
      <c r="B1106" s="8" t="s">
        <v>2762</v>
      </c>
      <c r="C1106" s="8" t="s">
        <v>2738</v>
      </c>
      <c r="D1106" s="8" t="s">
        <v>2577</v>
      </c>
      <c r="E1106" s="8" t="s">
        <v>2763</v>
      </c>
      <c r="F1106" s="9">
        <v>44851</v>
      </c>
      <c r="G1106" s="10">
        <f t="shared" ca="1" si="17"/>
        <v>3.1315068493150684</v>
      </c>
    </row>
    <row r="1107" spans="1:7" x14ac:dyDescent="0.35">
      <c r="A1107" s="8">
        <v>502111</v>
      </c>
      <c r="B1107" s="8" t="s">
        <v>2764</v>
      </c>
      <c r="C1107" s="8" t="s">
        <v>2765</v>
      </c>
      <c r="D1107" s="8" t="s">
        <v>2766</v>
      </c>
      <c r="E1107" s="8" t="s">
        <v>2767</v>
      </c>
      <c r="F1107" s="9">
        <v>45705</v>
      </c>
      <c r="G1107" s="10">
        <f t="shared" ca="1" si="17"/>
        <v>0.79178082191780819</v>
      </c>
    </row>
    <row r="1108" spans="1:7" x14ac:dyDescent="0.35">
      <c r="A1108" s="8">
        <v>501798</v>
      </c>
      <c r="B1108" s="8" t="s">
        <v>2768</v>
      </c>
      <c r="C1108" s="8" t="s">
        <v>2769</v>
      </c>
      <c r="D1108" s="8" t="s">
        <v>2766</v>
      </c>
      <c r="E1108" s="8" t="s">
        <v>2770</v>
      </c>
      <c r="F1108" s="9">
        <v>45362</v>
      </c>
      <c r="G1108" s="10">
        <f t="shared" ca="1" si="17"/>
        <v>1.7315068493150685</v>
      </c>
    </row>
    <row r="1109" spans="1:7" x14ac:dyDescent="0.35">
      <c r="A1109" s="8">
        <v>501903</v>
      </c>
      <c r="B1109" s="8" t="s">
        <v>2771</v>
      </c>
      <c r="C1109" s="8" t="s">
        <v>2772</v>
      </c>
      <c r="D1109" s="8" t="s">
        <v>2766</v>
      </c>
      <c r="E1109" s="8" t="s">
        <v>2773</v>
      </c>
      <c r="F1109" s="9">
        <v>45824</v>
      </c>
      <c r="G1109" s="10">
        <f t="shared" ca="1" si="17"/>
        <v>0.46575342465753422</v>
      </c>
    </row>
    <row r="1110" spans="1:7" x14ac:dyDescent="0.35">
      <c r="A1110" s="8">
        <v>501494</v>
      </c>
      <c r="B1110" s="8" t="s">
        <v>2774</v>
      </c>
      <c r="C1110" s="8" t="s">
        <v>2775</v>
      </c>
      <c r="D1110" s="8" t="s">
        <v>2766</v>
      </c>
      <c r="E1110" s="8" t="s">
        <v>2776</v>
      </c>
      <c r="F1110" s="9">
        <v>44868</v>
      </c>
      <c r="G1110" s="10">
        <f t="shared" ca="1" si="17"/>
        <v>3.0849315068493151</v>
      </c>
    </row>
    <row r="1111" spans="1:7" x14ac:dyDescent="0.35">
      <c r="A1111" s="8">
        <v>502132</v>
      </c>
      <c r="B1111" s="8" t="s">
        <v>2777</v>
      </c>
      <c r="C1111" s="8" t="s">
        <v>2778</v>
      </c>
      <c r="D1111" s="8" t="s">
        <v>2766</v>
      </c>
      <c r="E1111" s="8" t="s">
        <v>2779</v>
      </c>
      <c r="F1111" s="9">
        <v>45734</v>
      </c>
      <c r="G1111" s="10">
        <f t="shared" ca="1" si="17"/>
        <v>0.71232876712328763</v>
      </c>
    </row>
    <row r="1112" spans="1:7" x14ac:dyDescent="0.35">
      <c r="A1112" s="8">
        <v>502133</v>
      </c>
      <c r="B1112" s="8" t="s">
        <v>2780</v>
      </c>
      <c r="C1112" s="8" t="s">
        <v>2781</v>
      </c>
      <c r="D1112" s="8" t="s">
        <v>2766</v>
      </c>
      <c r="E1112" s="8" t="s">
        <v>2782</v>
      </c>
      <c r="F1112" s="9">
        <v>45734</v>
      </c>
      <c r="G1112" s="10">
        <f t="shared" ca="1" si="17"/>
        <v>0.71232876712328763</v>
      </c>
    </row>
    <row r="1113" spans="1:7" x14ac:dyDescent="0.35">
      <c r="A1113" s="8">
        <v>501874</v>
      </c>
      <c r="B1113" s="8" t="s">
        <v>2783</v>
      </c>
      <c r="C1113" s="8" t="s">
        <v>2784</v>
      </c>
      <c r="D1113" s="8" t="s">
        <v>2785</v>
      </c>
      <c r="E1113" s="8" t="s">
        <v>2786</v>
      </c>
      <c r="F1113" s="9">
        <v>45460</v>
      </c>
      <c r="G1113" s="10">
        <f t="shared" ca="1" si="17"/>
        <v>1.463013698630137</v>
      </c>
    </row>
    <row r="1114" spans="1:7" x14ac:dyDescent="0.35">
      <c r="A1114" s="8">
        <v>501884</v>
      </c>
      <c r="B1114" s="8" t="s">
        <v>2787</v>
      </c>
      <c r="C1114" s="8" t="s">
        <v>2788</v>
      </c>
      <c r="D1114" s="8" t="s">
        <v>2789</v>
      </c>
      <c r="E1114" s="8" t="s">
        <v>2790</v>
      </c>
      <c r="F1114" s="9">
        <v>45474</v>
      </c>
      <c r="G1114" s="10">
        <f t="shared" ca="1" si="17"/>
        <v>1.4246575342465753</v>
      </c>
    </row>
    <row r="1115" spans="1:7" x14ac:dyDescent="0.35">
      <c r="A1115" s="8">
        <v>501806</v>
      </c>
      <c r="B1115" s="8" t="s">
        <v>2791</v>
      </c>
      <c r="C1115" s="8" t="s">
        <v>2792</v>
      </c>
      <c r="D1115" s="8" t="s">
        <v>2793</v>
      </c>
      <c r="E1115" s="8" t="s">
        <v>2794</v>
      </c>
      <c r="F1115" s="9">
        <v>45383</v>
      </c>
      <c r="G1115" s="10">
        <f t="shared" ca="1" si="17"/>
        <v>1.6739726027397259</v>
      </c>
    </row>
    <row r="1116" spans="1:7" x14ac:dyDescent="0.35">
      <c r="A1116" s="8">
        <v>501838</v>
      </c>
      <c r="B1116" s="8" t="s">
        <v>2795</v>
      </c>
      <c r="C1116" s="8" t="s">
        <v>2796</v>
      </c>
      <c r="D1116" s="8" t="s">
        <v>2797</v>
      </c>
      <c r="E1116" s="8" t="s">
        <v>2798</v>
      </c>
      <c r="F1116" s="9">
        <v>45418</v>
      </c>
      <c r="G1116" s="10">
        <f t="shared" ca="1" si="17"/>
        <v>1.5780821917808219</v>
      </c>
    </row>
    <row r="1117" spans="1:7" x14ac:dyDescent="0.35">
      <c r="A1117" s="8">
        <v>100185</v>
      </c>
      <c r="B1117" s="8" t="s">
        <v>2799</v>
      </c>
      <c r="C1117" s="8" t="s">
        <v>2800</v>
      </c>
      <c r="D1117" s="8" t="s">
        <v>2801</v>
      </c>
      <c r="E1117" s="8" t="s">
        <v>2802</v>
      </c>
      <c r="F1117" s="9">
        <v>40091</v>
      </c>
      <c r="G1117" s="10">
        <f t="shared" ca="1" si="17"/>
        <v>16.172602739726027</v>
      </c>
    </row>
    <row r="1118" spans="1:7" x14ac:dyDescent="0.35">
      <c r="A1118" s="8">
        <v>101092</v>
      </c>
      <c r="B1118" s="8" t="s">
        <v>2803</v>
      </c>
      <c r="C1118" s="8" t="s">
        <v>2804</v>
      </c>
      <c r="D1118" s="8" t="s">
        <v>2177</v>
      </c>
      <c r="E1118" s="8" t="s">
        <v>2805</v>
      </c>
      <c r="F1118" s="9">
        <v>41778</v>
      </c>
      <c r="G1118" s="10">
        <f t="shared" ca="1" si="17"/>
        <v>11.550684931506849</v>
      </c>
    </row>
    <row r="1119" spans="1:7" x14ac:dyDescent="0.35">
      <c r="A1119" s="5">
        <v>502580</v>
      </c>
      <c r="B1119" s="5" t="s">
        <v>2806</v>
      </c>
      <c r="C1119" s="5" t="s">
        <v>2807</v>
      </c>
      <c r="D1119" s="5" t="s">
        <v>7</v>
      </c>
      <c r="E1119" s="5" t="s">
        <v>14</v>
      </c>
      <c r="F1119" s="6">
        <v>45979</v>
      </c>
      <c r="G1119" s="7">
        <f t="shared" ca="1" si="17"/>
        <v>4.1095890410958902E-2</v>
      </c>
    </row>
    <row r="1120" spans="1:7" x14ac:dyDescent="0.35">
      <c r="A1120" s="5">
        <v>502531</v>
      </c>
      <c r="B1120" s="5" t="s">
        <v>101</v>
      </c>
      <c r="C1120" s="5" t="s">
        <v>2808</v>
      </c>
      <c r="D1120" s="5" t="s">
        <v>85</v>
      </c>
      <c r="E1120" s="5" t="s">
        <v>103</v>
      </c>
      <c r="F1120" s="6">
        <v>45950</v>
      </c>
      <c r="G1120" s="7">
        <f t="shared" ca="1" si="17"/>
        <v>0.12054794520547946</v>
      </c>
    </row>
    <row r="1121" spans="1:7" x14ac:dyDescent="0.35">
      <c r="A1121" s="5">
        <v>502593</v>
      </c>
      <c r="B1121" s="5" t="s">
        <v>2809</v>
      </c>
      <c r="C1121" s="5" t="s">
        <v>94</v>
      </c>
      <c r="D1121" s="5" t="s">
        <v>85</v>
      </c>
      <c r="E1121" s="5" t="s">
        <v>1117</v>
      </c>
      <c r="F1121" s="6">
        <v>45992</v>
      </c>
      <c r="G1121" s="7">
        <f t="shared" ca="1" si="17"/>
        <v>5.4794520547945206E-3</v>
      </c>
    </row>
    <row r="1122" spans="1:7" x14ac:dyDescent="0.35">
      <c r="A1122" s="5">
        <v>502528</v>
      </c>
      <c r="B1122" s="5" t="s">
        <v>174</v>
      </c>
      <c r="C1122" s="5" t="s">
        <v>2810</v>
      </c>
      <c r="D1122" s="5" t="s">
        <v>139</v>
      </c>
      <c r="E1122" s="5" t="s">
        <v>175</v>
      </c>
      <c r="F1122" s="6">
        <v>45950</v>
      </c>
      <c r="G1122" s="7">
        <f t="shared" ca="1" si="17"/>
        <v>0.12054794520547946</v>
      </c>
    </row>
    <row r="1123" spans="1:7" x14ac:dyDescent="0.35">
      <c r="A1123" s="5">
        <v>502541</v>
      </c>
      <c r="B1123" s="5" t="s">
        <v>2811</v>
      </c>
      <c r="C1123" s="5" t="s">
        <v>2812</v>
      </c>
      <c r="D1123" s="5" t="s">
        <v>201</v>
      </c>
      <c r="E1123" s="5" t="s">
        <v>2813</v>
      </c>
      <c r="F1123" s="6">
        <v>45964</v>
      </c>
      <c r="G1123" s="7">
        <f t="shared" ca="1" si="17"/>
        <v>8.2191780821917804E-2</v>
      </c>
    </row>
    <row r="1124" spans="1:7" x14ac:dyDescent="0.35">
      <c r="A1124" s="5">
        <v>502572</v>
      </c>
      <c r="B1124" s="5" t="s">
        <v>2814</v>
      </c>
      <c r="C1124" s="5" t="s">
        <v>2815</v>
      </c>
      <c r="D1124" s="5" t="s">
        <v>201</v>
      </c>
      <c r="E1124" s="5" t="s">
        <v>2816</v>
      </c>
      <c r="F1124" s="6">
        <v>45979</v>
      </c>
      <c r="G1124" s="7">
        <f t="shared" ca="1" si="17"/>
        <v>4.1095890410958902E-2</v>
      </c>
    </row>
    <row r="1125" spans="1:7" x14ac:dyDescent="0.35">
      <c r="A1125" s="5">
        <v>502526</v>
      </c>
      <c r="B1125" s="5" t="s">
        <v>225</v>
      </c>
      <c r="C1125" s="5" t="s">
        <v>2817</v>
      </c>
      <c r="D1125" s="5" t="s">
        <v>201</v>
      </c>
      <c r="E1125" s="5" t="s">
        <v>227</v>
      </c>
      <c r="F1125" s="6">
        <v>45950</v>
      </c>
      <c r="G1125" s="7">
        <f t="shared" ca="1" si="17"/>
        <v>0.12054794520547946</v>
      </c>
    </row>
    <row r="1126" spans="1:7" x14ac:dyDescent="0.35">
      <c r="A1126" s="5">
        <v>502529</v>
      </c>
      <c r="B1126" s="5" t="s">
        <v>307</v>
      </c>
      <c r="C1126" s="5" t="s">
        <v>308</v>
      </c>
      <c r="D1126" s="5" t="s">
        <v>201</v>
      </c>
      <c r="E1126" s="5" t="s">
        <v>309</v>
      </c>
      <c r="F1126" s="6">
        <v>45950</v>
      </c>
      <c r="G1126" s="7">
        <f t="shared" ca="1" si="17"/>
        <v>0.12054794520547946</v>
      </c>
    </row>
    <row r="1127" spans="1:7" x14ac:dyDescent="0.35">
      <c r="A1127" s="5">
        <v>502542</v>
      </c>
      <c r="B1127" s="5" t="s">
        <v>2818</v>
      </c>
      <c r="C1127" s="5" t="s">
        <v>308</v>
      </c>
      <c r="D1127" s="5" t="s">
        <v>201</v>
      </c>
      <c r="E1127" s="5" t="s">
        <v>2819</v>
      </c>
      <c r="F1127" s="6">
        <v>45964</v>
      </c>
      <c r="G1127" s="7">
        <f t="shared" ca="1" si="17"/>
        <v>8.2191780821917804E-2</v>
      </c>
    </row>
    <row r="1128" spans="1:7" x14ac:dyDescent="0.35">
      <c r="A1128" s="5">
        <v>502523</v>
      </c>
      <c r="B1128" s="5" t="s">
        <v>322</v>
      </c>
      <c r="C1128" s="5" t="s">
        <v>323</v>
      </c>
      <c r="D1128" s="5" t="s">
        <v>201</v>
      </c>
      <c r="E1128" s="5" t="s">
        <v>324</v>
      </c>
      <c r="F1128" s="6">
        <v>45950</v>
      </c>
      <c r="G1128" s="7">
        <f t="shared" ca="1" si="17"/>
        <v>0.12054794520547946</v>
      </c>
    </row>
    <row r="1129" spans="1:7" x14ac:dyDescent="0.35">
      <c r="A1129" s="5">
        <v>502519</v>
      </c>
      <c r="B1129" s="5" t="s">
        <v>385</v>
      </c>
      <c r="C1129" s="5" t="s">
        <v>386</v>
      </c>
      <c r="D1129" s="5" t="s">
        <v>371</v>
      </c>
      <c r="E1129" s="5" t="s">
        <v>387</v>
      </c>
      <c r="F1129" s="6">
        <v>45950</v>
      </c>
      <c r="G1129" s="7">
        <f t="shared" ca="1" si="17"/>
        <v>0.12054794520547946</v>
      </c>
    </row>
    <row r="1130" spans="1:7" x14ac:dyDescent="0.35">
      <c r="A1130" s="5">
        <v>502573</v>
      </c>
      <c r="B1130" s="5" t="s">
        <v>2820</v>
      </c>
      <c r="C1130" s="5" t="s">
        <v>377</v>
      </c>
      <c r="D1130" s="5" t="s">
        <v>371</v>
      </c>
      <c r="E1130" s="5" t="s">
        <v>2821</v>
      </c>
      <c r="F1130" s="6">
        <v>45979</v>
      </c>
      <c r="G1130" s="7">
        <f t="shared" ca="1" si="17"/>
        <v>4.1095890410958902E-2</v>
      </c>
    </row>
    <row r="1131" spans="1:7" x14ac:dyDescent="0.35">
      <c r="A1131" s="5">
        <v>502328</v>
      </c>
      <c r="B1131" s="5" t="s">
        <v>2822</v>
      </c>
      <c r="C1131" s="5" t="s">
        <v>2823</v>
      </c>
      <c r="D1131" s="5" t="s">
        <v>478</v>
      </c>
      <c r="E1131" s="5" t="s">
        <v>2824</v>
      </c>
      <c r="F1131" s="6">
        <v>45964</v>
      </c>
      <c r="G1131" s="7">
        <f t="shared" ca="1" si="17"/>
        <v>8.2191780821917804E-2</v>
      </c>
    </row>
    <row r="1132" spans="1:7" x14ac:dyDescent="0.35">
      <c r="A1132" s="5">
        <v>502562</v>
      </c>
      <c r="B1132" s="5" t="s">
        <v>2825</v>
      </c>
      <c r="C1132" s="5" t="s">
        <v>2826</v>
      </c>
      <c r="D1132" s="5" t="s">
        <v>478</v>
      </c>
      <c r="E1132" s="5" t="s">
        <v>2827</v>
      </c>
      <c r="F1132" s="6">
        <v>45971</v>
      </c>
      <c r="G1132" s="7">
        <f t="shared" ca="1" si="17"/>
        <v>6.3013698630136991E-2</v>
      </c>
    </row>
    <row r="1133" spans="1:7" x14ac:dyDescent="0.35">
      <c r="A1133" s="5">
        <v>502589</v>
      </c>
      <c r="B1133" s="5" t="s">
        <v>2828</v>
      </c>
      <c r="C1133" s="5" t="s">
        <v>2829</v>
      </c>
      <c r="D1133" s="5" t="s">
        <v>478</v>
      </c>
      <c r="E1133" s="5" t="s">
        <v>2830</v>
      </c>
      <c r="F1133" s="6">
        <v>45992</v>
      </c>
      <c r="G1133" s="7">
        <f t="shared" ca="1" si="17"/>
        <v>5.4794520547945206E-3</v>
      </c>
    </row>
    <row r="1134" spans="1:7" x14ac:dyDescent="0.35">
      <c r="A1134" s="5">
        <v>501646</v>
      </c>
      <c r="B1134" s="5" t="s">
        <v>730</v>
      </c>
      <c r="C1134" s="5" t="s">
        <v>119</v>
      </c>
      <c r="D1134" s="5" t="s">
        <v>2831</v>
      </c>
      <c r="E1134" s="5" t="s">
        <v>731</v>
      </c>
      <c r="F1134" s="6">
        <v>45950</v>
      </c>
      <c r="G1134" s="7">
        <f t="shared" ca="1" si="17"/>
        <v>0.12054794520547946</v>
      </c>
    </row>
    <row r="1135" spans="1:7" x14ac:dyDescent="0.35">
      <c r="A1135" s="5">
        <v>502563</v>
      </c>
      <c r="B1135" s="5" t="s">
        <v>2832</v>
      </c>
      <c r="C1135" s="5" t="s">
        <v>2807</v>
      </c>
      <c r="D1135" s="5" t="s">
        <v>797</v>
      </c>
      <c r="E1135" s="5" t="s">
        <v>14</v>
      </c>
      <c r="F1135" s="6">
        <v>45979</v>
      </c>
      <c r="G1135" s="7">
        <f t="shared" ca="1" si="17"/>
        <v>4.1095890410958902E-2</v>
      </c>
    </row>
    <row r="1136" spans="1:7" x14ac:dyDescent="0.35">
      <c r="A1136" s="5">
        <v>502539</v>
      </c>
      <c r="B1136" s="5" t="s">
        <v>2833</v>
      </c>
      <c r="C1136" s="5" t="s">
        <v>805</v>
      </c>
      <c r="D1136" s="5" t="s">
        <v>797</v>
      </c>
      <c r="E1136" s="5" t="s">
        <v>2834</v>
      </c>
      <c r="F1136" s="6">
        <v>45957</v>
      </c>
      <c r="G1136" s="7">
        <f t="shared" ca="1" si="17"/>
        <v>0.10136986301369863</v>
      </c>
    </row>
    <row r="1137" spans="1:7" x14ac:dyDescent="0.35">
      <c r="A1137" s="5">
        <v>502564</v>
      </c>
      <c r="B1137" s="5" t="s">
        <v>2835</v>
      </c>
      <c r="C1137" s="5" t="s">
        <v>2836</v>
      </c>
      <c r="D1137" s="5" t="s">
        <v>913</v>
      </c>
      <c r="E1137" s="5" t="s">
        <v>2837</v>
      </c>
      <c r="F1137" s="6">
        <v>45979</v>
      </c>
      <c r="G1137" s="7">
        <f t="shared" ca="1" si="17"/>
        <v>4.1095890410958902E-2</v>
      </c>
    </row>
    <row r="1138" spans="1:7" x14ac:dyDescent="0.35">
      <c r="A1138" s="5">
        <v>502521</v>
      </c>
      <c r="B1138" s="5" t="s">
        <v>973</v>
      </c>
      <c r="C1138" s="5" t="s">
        <v>971</v>
      </c>
      <c r="D1138" s="5" t="s">
        <v>913</v>
      </c>
      <c r="E1138" s="5" t="s">
        <v>974</v>
      </c>
      <c r="F1138" s="6">
        <v>45950</v>
      </c>
      <c r="G1138" s="7">
        <f t="shared" ca="1" si="17"/>
        <v>0.12054794520547946</v>
      </c>
    </row>
    <row r="1139" spans="1:7" x14ac:dyDescent="0.35">
      <c r="A1139" s="5">
        <v>502527</v>
      </c>
      <c r="B1139" s="5" t="s">
        <v>1015</v>
      </c>
      <c r="C1139" s="5" t="s">
        <v>2838</v>
      </c>
      <c r="D1139" s="5" t="s">
        <v>913</v>
      </c>
      <c r="E1139" s="5" t="s">
        <v>1017</v>
      </c>
      <c r="F1139" s="6">
        <v>45950</v>
      </c>
      <c r="G1139" s="7">
        <f t="shared" ca="1" si="17"/>
        <v>0.12054794520547946</v>
      </c>
    </row>
    <row r="1140" spans="1:7" x14ac:dyDescent="0.35">
      <c r="A1140" s="5">
        <v>502522</v>
      </c>
      <c r="B1140" s="5" t="s">
        <v>1027</v>
      </c>
      <c r="C1140" s="5" t="s">
        <v>2839</v>
      </c>
      <c r="D1140" s="5" t="s">
        <v>913</v>
      </c>
      <c r="E1140" s="5" t="s">
        <v>1028</v>
      </c>
      <c r="F1140" s="6">
        <v>45950</v>
      </c>
      <c r="G1140" s="7">
        <f t="shared" ca="1" si="17"/>
        <v>0.12054794520547946</v>
      </c>
    </row>
    <row r="1141" spans="1:7" x14ac:dyDescent="0.35">
      <c r="A1141" s="5">
        <v>502567</v>
      </c>
      <c r="B1141" s="5" t="s">
        <v>2840</v>
      </c>
      <c r="C1141" s="5" t="s">
        <v>2839</v>
      </c>
      <c r="D1141" s="5" t="s">
        <v>913</v>
      </c>
      <c r="E1141" s="5" t="s">
        <v>2841</v>
      </c>
      <c r="F1141" s="6">
        <v>45979</v>
      </c>
      <c r="G1141" s="7">
        <f t="shared" ca="1" si="17"/>
        <v>4.1095890410958902E-2</v>
      </c>
    </row>
    <row r="1142" spans="1:7" x14ac:dyDescent="0.35">
      <c r="A1142" s="5">
        <v>502524</v>
      </c>
      <c r="B1142" s="5" t="s">
        <v>1045</v>
      </c>
      <c r="C1142" s="5" t="s">
        <v>2839</v>
      </c>
      <c r="D1142" s="5" t="s">
        <v>913</v>
      </c>
      <c r="E1142" s="5" t="s">
        <v>1046</v>
      </c>
      <c r="F1142" s="6">
        <v>45950</v>
      </c>
      <c r="G1142" s="7">
        <f t="shared" ca="1" si="17"/>
        <v>0.12054794520547946</v>
      </c>
    </row>
    <row r="1143" spans="1:7" x14ac:dyDescent="0.35">
      <c r="A1143" s="5">
        <v>502557</v>
      </c>
      <c r="B1143" s="5" t="s">
        <v>2842</v>
      </c>
      <c r="C1143" s="5" t="s">
        <v>2843</v>
      </c>
      <c r="D1143" s="5" t="s">
        <v>913</v>
      </c>
      <c r="E1143" s="5" t="s">
        <v>2844</v>
      </c>
      <c r="F1143" s="6">
        <v>45964</v>
      </c>
      <c r="G1143" s="7">
        <f t="shared" ca="1" si="17"/>
        <v>8.2191780821917804E-2</v>
      </c>
    </row>
    <row r="1144" spans="1:7" x14ac:dyDescent="0.35">
      <c r="A1144" s="5">
        <v>502569</v>
      </c>
      <c r="B1144" s="5" t="s">
        <v>2845</v>
      </c>
      <c r="C1144" s="5" t="s">
        <v>2846</v>
      </c>
      <c r="D1144" s="5" t="s">
        <v>913</v>
      </c>
      <c r="E1144" s="5" t="s">
        <v>2847</v>
      </c>
      <c r="F1144" s="6">
        <v>45979</v>
      </c>
      <c r="G1144" s="7">
        <f t="shared" ca="1" si="17"/>
        <v>4.1095890410958902E-2</v>
      </c>
    </row>
    <row r="1145" spans="1:7" x14ac:dyDescent="0.35">
      <c r="A1145" s="5">
        <v>502560</v>
      </c>
      <c r="B1145" s="5" t="s">
        <v>2848</v>
      </c>
      <c r="C1145" s="5" t="s">
        <v>2846</v>
      </c>
      <c r="D1145" s="5" t="s">
        <v>913</v>
      </c>
      <c r="E1145" s="5" t="s">
        <v>2849</v>
      </c>
      <c r="F1145" s="6">
        <v>45964</v>
      </c>
      <c r="G1145" s="7">
        <f t="shared" ca="1" si="17"/>
        <v>8.2191780821917804E-2</v>
      </c>
    </row>
    <row r="1146" spans="1:7" x14ac:dyDescent="0.35">
      <c r="A1146" s="5">
        <v>502530</v>
      </c>
      <c r="B1146" s="5" t="s">
        <v>1387</v>
      </c>
      <c r="C1146" s="5" t="s">
        <v>1374</v>
      </c>
      <c r="D1146" s="5" t="s">
        <v>913</v>
      </c>
      <c r="E1146" s="5" t="s">
        <v>1388</v>
      </c>
      <c r="F1146" s="6">
        <v>45950</v>
      </c>
      <c r="G1146" s="7">
        <f t="shared" ca="1" si="17"/>
        <v>0.12054794520547946</v>
      </c>
    </row>
    <row r="1147" spans="1:7" x14ac:dyDescent="0.35">
      <c r="A1147" s="5">
        <v>502532</v>
      </c>
      <c r="B1147" s="5" t="s">
        <v>1389</v>
      </c>
      <c r="C1147" s="5" t="s">
        <v>1374</v>
      </c>
      <c r="D1147" s="5" t="s">
        <v>913</v>
      </c>
      <c r="E1147" s="5" t="s">
        <v>1390</v>
      </c>
      <c r="F1147" s="6">
        <v>45950</v>
      </c>
      <c r="G1147" s="7">
        <f t="shared" ca="1" si="17"/>
        <v>0.12054794520547946</v>
      </c>
    </row>
    <row r="1148" spans="1:7" x14ac:dyDescent="0.35">
      <c r="A1148" s="5">
        <v>502554</v>
      </c>
      <c r="B1148" s="5" t="s">
        <v>2850</v>
      </c>
      <c r="C1148" s="5" t="s">
        <v>2851</v>
      </c>
      <c r="D1148" s="5" t="s">
        <v>1483</v>
      </c>
      <c r="E1148" s="5" t="s">
        <v>2852</v>
      </c>
      <c r="F1148" s="6">
        <v>45964</v>
      </c>
      <c r="G1148" s="7">
        <f t="shared" ca="1" si="17"/>
        <v>8.2191780821917804E-2</v>
      </c>
    </row>
    <row r="1149" spans="1:7" x14ac:dyDescent="0.35">
      <c r="A1149" s="5">
        <v>502520</v>
      </c>
      <c r="B1149" s="5" t="s">
        <v>1592</v>
      </c>
      <c r="C1149" s="5" t="s">
        <v>1593</v>
      </c>
      <c r="D1149" s="5" t="s">
        <v>1483</v>
      </c>
      <c r="E1149" s="5" t="s">
        <v>1594</v>
      </c>
      <c r="F1149" s="6">
        <v>45950</v>
      </c>
      <c r="G1149" s="7">
        <f t="shared" ca="1" si="17"/>
        <v>0.12054794520547946</v>
      </c>
    </row>
    <row r="1150" spans="1:7" x14ac:dyDescent="0.35">
      <c r="A1150" s="5">
        <v>502525</v>
      </c>
      <c r="B1150" s="5" t="s">
        <v>1658</v>
      </c>
      <c r="C1150" s="5" t="s">
        <v>1659</v>
      </c>
      <c r="D1150" s="5" t="s">
        <v>1617</v>
      </c>
      <c r="E1150" s="5" t="s">
        <v>1660</v>
      </c>
      <c r="F1150" s="6">
        <v>45950</v>
      </c>
      <c r="G1150" s="7">
        <f t="shared" ca="1" si="17"/>
        <v>0.12054794520547946</v>
      </c>
    </row>
    <row r="1151" spans="1:7" x14ac:dyDescent="0.35">
      <c r="A1151" s="5">
        <v>502555</v>
      </c>
      <c r="B1151" s="5" t="s">
        <v>2853</v>
      </c>
      <c r="C1151" s="5" t="s">
        <v>1699</v>
      </c>
      <c r="D1151" s="5" t="s">
        <v>1617</v>
      </c>
      <c r="E1151" s="5" t="s">
        <v>2854</v>
      </c>
      <c r="F1151" s="6">
        <v>45964</v>
      </c>
      <c r="G1151" s="7">
        <f t="shared" ca="1" si="17"/>
        <v>8.2191780821917804E-2</v>
      </c>
    </row>
    <row r="1152" spans="1:7" x14ac:dyDescent="0.35">
      <c r="A1152" s="5">
        <v>502571</v>
      </c>
      <c r="B1152" s="5" t="s">
        <v>2855</v>
      </c>
      <c r="C1152" s="5" t="s">
        <v>1659</v>
      </c>
      <c r="D1152" s="5" t="s">
        <v>1617</v>
      </c>
      <c r="E1152" s="5" t="s">
        <v>2856</v>
      </c>
      <c r="F1152" s="6">
        <v>45979</v>
      </c>
      <c r="G1152" s="7">
        <f t="shared" ca="1" si="17"/>
        <v>4.1095890410958902E-2</v>
      </c>
    </row>
    <row r="1153" spans="1:7" x14ac:dyDescent="0.35">
      <c r="A1153" s="5">
        <v>502369</v>
      </c>
      <c r="B1153" s="5" t="s">
        <v>2857</v>
      </c>
      <c r="C1153" s="5" t="s">
        <v>1699</v>
      </c>
      <c r="D1153" s="5" t="s">
        <v>1617</v>
      </c>
      <c r="E1153" s="5" t="s">
        <v>2858</v>
      </c>
      <c r="F1153" s="6">
        <v>45964</v>
      </c>
      <c r="G1153" s="7">
        <f t="shared" ca="1" si="17"/>
        <v>8.2191780821917804E-2</v>
      </c>
    </row>
    <row r="1154" spans="1:7" x14ac:dyDescent="0.35">
      <c r="A1154" s="5">
        <v>502592</v>
      </c>
      <c r="B1154" s="5" t="s">
        <v>2859</v>
      </c>
      <c r="C1154" s="5" t="s">
        <v>1699</v>
      </c>
      <c r="D1154" s="5" t="s">
        <v>1617</v>
      </c>
      <c r="E1154" s="5" t="s">
        <v>2860</v>
      </c>
      <c r="F1154" s="6">
        <v>45992</v>
      </c>
      <c r="G1154" s="7">
        <f t="shared" ca="1" si="17"/>
        <v>5.4794520547945206E-3</v>
      </c>
    </row>
    <row r="1155" spans="1:7" x14ac:dyDescent="0.35">
      <c r="A1155" s="5">
        <v>502591</v>
      </c>
      <c r="B1155" s="5" t="s">
        <v>2861</v>
      </c>
      <c r="C1155" s="5" t="s">
        <v>1699</v>
      </c>
      <c r="D1155" s="5" t="s">
        <v>1617</v>
      </c>
      <c r="E1155" s="5" t="s">
        <v>2862</v>
      </c>
      <c r="F1155" s="6">
        <v>45992</v>
      </c>
      <c r="G1155" s="7">
        <f t="shared" ca="1" si="17"/>
        <v>5.4794520547945206E-3</v>
      </c>
    </row>
    <row r="1156" spans="1:7" x14ac:dyDescent="0.35">
      <c r="A1156" s="5">
        <v>502570</v>
      </c>
      <c r="B1156" s="5" t="s">
        <v>2863</v>
      </c>
      <c r="C1156" s="5" t="s">
        <v>1775</v>
      </c>
      <c r="D1156" s="5" t="s">
        <v>1617</v>
      </c>
      <c r="E1156" s="5" t="s">
        <v>2864</v>
      </c>
      <c r="F1156" s="6">
        <v>45979</v>
      </c>
      <c r="G1156" s="7">
        <f t="shared" ca="1" si="17"/>
        <v>4.1095890410958902E-2</v>
      </c>
    </row>
    <row r="1157" spans="1:7" x14ac:dyDescent="0.35">
      <c r="A1157" s="5">
        <v>502561</v>
      </c>
      <c r="B1157" s="5" t="s">
        <v>2865</v>
      </c>
      <c r="C1157" s="5" t="s">
        <v>2866</v>
      </c>
      <c r="D1157" s="5" t="s">
        <v>1836</v>
      </c>
      <c r="E1157" s="5" t="s">
        <v>2867</v>
      </c>
      <c r="F1157" s="6">
        <v>45971</v>
      </c>
      <c r="G1157" s="7">
        <f t="shared" ref="G1157:G1186" ca="1" si="18">($G$1-F1157)/365</f>
        <v>6.3013698630136991E-2</v>
      </c>
    </row>
    <row r="1158" spans="1:7" x14ac:dyDescent="0.35">
      <c r="A1158" s="5">
        <v>502538</v>
      </c>
      <c r="B1158" s="5" t="s">
        <v>2308</v>
      </c>
      <c r="C1158" s="5" t="s">
        <v>2868</v>
      </c>
      <c r="D1158" s="5" t="s">
        <v>2177</v>
      </c>
      <c r="E1158" s="5" t="s">
        <v>2309</v>
      </c>
      <c r="F1158" s="6">
        <v>45950</v>
      </c>
      <c r="G1158" s="7">
        <f t="shared" ca="1" si="18"/>
        <v>0.12054794520547946</v>
      </c>
    </row>
    <row r="1159" spans="1:7" x14ac:dyDescent="0.35">
      <c r="A1159" s="5">
        <v>502595</v>
      </c>
      <c r="B1159" s="5" t="s">
        <v>2869</v>
      </c>
      <c r="C1159" s="5" t="s">
        <v>2305</v>
      </c>
      <c r="D1159" s="5" t="s">
        <v>2177</v>
      </c>
      <c r="E1159" s="5" t="s">
        <v>14</v>
      </c>
      <c r="F1159" s="6">
        <v>45992</v>
      </c>
      <c r="G1159" s="7">
        <f t="shared" ca="1" si="18"/>
        <v>5.4794520547945206E-3</v>
      </c>
    </row>
    <row r="1160" spans="1:7" x14ac:dyDescent="0.35">
      <c r="A1160" s="5">
        <v>101427</v>
      </c>
      <c r="B1160" s="5" t="s">
        <v>2870</v>
      </c>
      <c r="C1160" s="5" t="s">
        <v>2868</v>
      </c>
      <c r="D1160" s="5" t="s">
        <v>2177</v>
      </c>
      <c r="E1160" s="5" t="s">
        <v>2871</v>
      </c>
      <c r="F1160" s="6">
        <v>45964</v>
      </c>
      <c r="G1160" s="7">
        <f t="shared" ca="1" si="18"/>
        <v>8.2191780821917804E-2</v>
      </c>
    </row>
    <row r="1161" spans="1:7" x14ac:dyDescent="0.35">
      <c r="A1161" s="5">
        <v>502596</v>
      </c>
      <c r="B1161" s="5" t="s">
        <v>2872</v>
      </c>
      <c r="C1161" s="5" t="s">
        <v>2305</v>
      </c>
      <c r="D1161" s="5" t="s">
        <v>2177</v>
      </c>
      <c r="E1161" s="5" t="s">
        <v>14</v>
      </c>
      <c r="F1161" s="6">
        <v>45992</v>
      </c>
      <c r="G1161" s="7">
        <f t="shared" ca="1" si="18"/>
        <v>5.4794520547945206E-3</v>
      </c>
    </row>
    <row r="1162" spans="1:7" x14ac:dyDescent="0.35">
      <c r="A1162" s="5">
        <v>502566</v>
      </c>
      <c r="B1162" s="5" t="s">
        <v>2873</v>
      </c>
      <c r="C1162" s="5" t="s">
        <v>2874</v>
      </c>
      <c r="D1162" s="5" t="s">
        <v>1908</v>
      </c>
      <c r="E1162" s="5" t="s">
        <v>2875</v>
      </c>
      <c r="F1162" s="6">
        <v>45979</v>
      </c>
      <c r="G1162" s="7">
        <f t="shared" ca="1" si="18"/>
        <v>4.1095890410958902E-2</v>
      </c>
    </row>
    <row r="1163" spans="1:7" x14ac:dyDescent="0.35">
      <c r="A1163" s="5">
        <v>502548</v>
      </c>
      <c r="B1163" s="5" t="s">
        <v>2876</v>
      </c>
      <c r="C1163" s="5" t="s">
        <v>1930</v>
      </c>
      <c r="D1163" s="5" t="s">
        <v>1908</v>
      </c>
      <c r="E1163" s="5" t="s">
        <v>2877</v>
      </c>
      <c r="F1163" s="6">
        <v>45964</v>
      </c>
      <c r="G1163" s="7">
        <f t="shared" ca="1" si="18"/>
        <v>8.2191780821917804E-2</v>
      </c>
    </row>
    <row r="1164" spans="1:7" x14ac:dyDescent="0.35">
      <c r="A1164" s="5">
        <v>502565</v>
      </c>
      <c r="B1164" s="5" t="s">
        <v>2878</v>
      </c>
      <c r="C1164" s="5" t="s">
        <v>2879</v>
      </c>
      <c r="D1164" s="5" t="s">
        <v>1908</v>
      </c>
      <c r="E1164" s="5" t="s">
        <v>2880</v>
      </c>
      <c r="F1164" s="6">
        <v>45979</v>
      </c>
      <c r="G1164" s="7">
        <f t="shared" ca="1" si="18"/>
        <v>4.1095890410958902E-2</v>
      </c>
    </row>
    <row r="1165" spans="1:7" x14ac:dyDescent="0.35">
      <c r="A1165" s="5">
        <v>502549</v>
      </c>
      <c r="B1165" s="5" t="s">
        <v>2881</v>
      </c>
      <c r="C1165" s="5" t="s">
        <v>2882</v>
      </c>
      <c r="D1165" s="5" t="s">
        <v>1908</v>
      </c>
      <c r="E1165" s="5" t="s">
        <v>2883</v>
      </c>
      <c r="F1165" s="6">
        <v>45964</v>
      </c>
      <c r="G1165" s="7">
        <f t="shared" ca="1" si="18"/>
        <v>8.2191780821917804E-2</v>
      </c>
    </row>
    <row r="1166" spans="1:7" x14ac:dyDescent="0.35">
      <c r="A1166" s="5">
        <v>500836</v>
      </c>
      <c r="B1166" s="5" t="s">
        <v>1942</v>
      </c>
      <c r="C1166" s="5" t="s">
        <v>2884</v>
      </c>
      <c r="D1166" s="5" t="s">
        <v>1908</v>
      </c>
      <c r="E1166" s="5" t="s">
        <v>1944</v>
      </c>
      <c r="F1166" s="6">
        <v>45950</v>
      </c>
      <c r="G1166" s="7">
        <f t="shared" ca="1" si="18"/>
        <v>0.12054794520547946</v>
      </c>
    </row>
    <row r="1167" spans="1:7" x14ac:dyDescent="0.35">
      <c r="A1167" s="5">
        <v>502550</v>
      </c>
      <c r="B1167" s="5" t="s">
        <v>2885</v>
      </c>
      <c r="C1167" s="5" t="s">
        <v>2886</v>
      </c>
      <c r="D1167" s="5" t="s">
        <v>1908</v>
      </c>
      <c r="E1167" s="5" t="s">
        <v>2887</v>
      </c>
      <c r="F1167" s="6">
        <v>45964</v>
      </c>
      <c r="G1167" s="7">
        <f t="shared" ca="1" si="18"/>
        <v>8.2191780821917804E-2</v>
      </c>
    </row>
    <row r="1168" spans="1:7" x14ac:dyDescent="0.35">
      <c r="A1168" s="5">
        <v>502588</v>
      </c>
      <c r="B1168" s="5" t="s">
        <v>2888</v>
      </c>
      <c r="C1168" s="5" t="s">
        <v>2889</v>
      </c>
      <c r="D1168" s="5" t="s">
        <v>1908</v>
      </c>
      <c r="E1168" s="5" t="s">
        <v>2890</v>
      </c>
      <c r="F1168" s="6">
        <v>45992</v>
      </c>
      <c r="G1168" s="7">
        <f t="shared" ca="1" si="18"/>
        <v>5.4794520547945206E-3</v>
      </c>
    </row>
    <row r="1169" spans="1:7" x14ac:dyDescent="0.35">
      <c r="A1169" s="5">
        <v>502536</v>
      </c>
      <c r="B1169" s="5" t="s">
        <v>2021</v>
      </c>
      <c r="C1169" s="5" t="s">
        <v>2891</v>
      </c>
      <c r="D1169" s="5" t="s">
        <v>1908</v>
      </c>
      <c r="E1169" s="5" t="s">
        <v>2023</v>
      </c>
      <c r="F1169" s="6">
        <v>45950</v>
      </c>
      <c r="G1169" s="7">
        <f t="shared" ca="1" si="18"/>
        <v>0.12054794520547946</v>
      </c>
    </row>
    <row r="1170" spans="1:7" x14ac:dyDescent="0.35">
      <c r="A1170" s="5">
        <v>502534</v>
      </c>
      <c r="B1170" s="5" t="s">
        <v>2026</v>
      </c>
      <c r="C1170" s="5" t="s">
        <v>2891</v>
      </c>
      <c r="D1170" s="5" t="s">
        <v>1908</v>
      </c>
      <c r="E1170" s="5" t="s">
        <v>2027</v>
      </c>
      <c r="F1170" s="6">
        <v>45950</v>
      </c>
      <c r="G1170" s="7">
        <f t="shared" ca="1" si="18"/>
        <v>0.12054794520547946</v>
      </c>
    </row>
    <row r="1171" spans="1:7" x14ac:dyDescent="0.35">
      <c r="A1171" s="5">
        <v>502582</v>
      </c>
      <c r="B1171" s="5" t="s">
        <v>2892</v>
      </c>
      <c r="C1171" s="5" t="s">
        <v>2893</v>
      </c>
      <c r="D1171" s="5" t="s">
        <v>1908</v>
      </c>
      <c r="E1171" s="5" t="s">
        <v>2894</v>
      </c>
      <c r="F1171" s="6">
        <v>45979</v>
      </c>
      <c r="G1171" s="7">
        <f t="shared" ca="1" si="18"/>
        <v>4.1095890410958902E-2</v>
      </c>
    </row>
    <row r="1172" spans="1:7" x14ac:dyDescent="0.35">
      <c r="A1172" s="5">
        <v>502535</v>
      </c>
      <c r="B1172" s="5" t="s">
        <v>2062</v>
      </c>
      <c r="C1172" s="5" t="s">
        <v>2063</v>
      </c>
      <c r="D1172" s="5" t="s">
        <v>1908</v>
      </c>
      <c r="E1172" s="5" t="s">
        <v>2064</v>
      </c>
      <c r="F1172" s="6">
        <v>45950</v>
      </c>
      <c r="G1172" s="7">
        <f t="shared" ca="1" si="18"/>
        <v>0.12054794520547946</v>
      </c>
    </row>
    <row r="1173" spans="1:7" x14ac:dyDescent="0.35">
      <c r="A1173" s="5">
        <v>502552</v>
      </c>
      <c r="B1173" s="5" t="s">
        <v>2895</v>
      </c>
      <c r="C1173" s="5" t="s">
        <v>2896</v>
      </c>
      <c r="D1173" s="5" t="s">
        <v>1908</v>
      </c>
      <c r="E1173" s="5" t="s">
        <v>2897</v>
      </c>
      <c r="F1173" s="6">
        <v>45964</v>
      </c>
      <c r="G1173" s="7">
        <f t="shared" ca="1" si="18"/>
        <v>8.2191780821917804E-2</v>
      </c>
    </row>
    <row r="1174" spans="1:7" x14ac:dyDescent="0.35">
      <c r="A1174" s="5">
        <v>502558</v>
      </c>
      <c r="B1174" s="5" t="s">
        <v>2898</v>
      </c>
      <c r="C1174" s="5" t="s">
        <v>2899</v>
      </c>
      <c r="D1174" s="5" t="s">
        <v>1908</v>
      </c>
      <c r="E1174" s="5" t="s">
        <v>2900</v>
      </c>
      <c r="F1174" s="6">
        <v>45964</v>
      </c>
      <c r="G1174" s="7">
        <f t="shared" ca="1" si="18"/>
        <v>8.2191780821917804E-2</v>
      </c>
    </row>
    <row r="1175" spans="1:7" x14ac:dyDescent="0.35">
      <c r="A1175" s="5">
        <v>502577</v>
      </c>
      <c r="B1175" s="5" t="s">
        <v>2901</v>
      </c>
      <c r="C1175" s="5" t="s">
        <v>2899</v>
      </c>
      <c r="D1175" s="5" t="s">
        <v>1908</v>
      </c>
      <c r="E1175" s="5" t="s">
        <v>2902</v>
      </c>
      <c r="F1175" s="6">
        <v>45979</v>
      </c>
      <c r="G1175" s="7">
        <f t="shared" ca="1" si="18"/>
        <v>4.1095890410958902E-2</v>
      </c>
    </row>
    <row r="1176" spans="1:7" x14ac:dyDescent="0.35">
      <c r="A1176" s="5">
        <v>502583</v>
      </c>
      <c r="B1176" s="5" t="s">
        <v>2903</v>
      </c>
      <c r="C1176" s="5" t="s">
        <v>2904</v>
      </c>
      <c r="D1176" s="5" t="s">
        <v>1908</v>
      </c>
      <c r="E1176" s="5" t="s">
        <v>2905</v>
      </c>
      <c r="F1176" s="6">
        <v>45979</v>
      </c>
      <c r="G1176" s="7">
        <f t="shared" ca="1" si="18"/>
        <v>4.1095890410958902E-2</v>
      </c>
    </row>
    <row r="1177" spans="1:7" x14ac:dyDescent="0.35">
      <c r="A1177" s="5">
        <v>502533</v>
      </c>
      <c r="B1177" s="5" t="s">
        <v>2120</v>
      </c>
      <c r="C1177" s="5" t="s">
        <v>2906</v>
      </c>
      <c r="D1177" s="5" t="s">
        <v>1908</v>
      </c>
      <c r="E1177" s="5" t="s">
        <v>2121</v>
      </c>
      <c r="F1177" s="6">
        <v>45950</v>
      </c>
      <c r="G1177" s="7">
        <f t="shared" ca="1" si="18"/>
        <v>0.12054794520547946</v>
      </c>
    </row>
    <row r="1178" spans="1:7" x14ac:dyDescent="0.35">
      <c r="A1178" s="5">
        <v>502553</v>
      </c>
      <c r="B1178" s="5" t="s">
        <v>2907</v>
      </c>
      <c r="C1178" s="5" t="s">
        <v>2899</v>
      </c>
      <c r="D1178" s="5" t="s">
        <v>1908</v>
      </c>
      <c r="E1178" s="5" t="s">
        <v>2908</v>
      </c>
      <c r="F1178" s="6">
        <v>45964</v>
      </c>
      <c r="G1178" s="7">
        <f t="shared" ca="1" si="18"/>
        <v>8.2191780821917804E-2</v>
      </c>
    </row>
    <row r="1179" spans="1:7" x14ac:dyDescent="0.35">
      <c r="A1179" s="5">
        <v>502551</v>
      </c>
      <c r="B1179" s="5" t="s">
        <v>2909</v>
      </c>
      <c r="C1179" s="5" t="s">
        <v>2910</v>
      </c>
      <c r="D1179" s="5" t="s">
        <v>1908</v>
      </c>
      <c r="E1179" s="5" t="s">
        <v>2911</v>
      </c>
      <c r="F1179" s="6">
        <v>45964</v>
      </c>
      <c r="G1179" s="7">
        <f t="shared" ca="1" si="18"/>
        <v>8.2191780821917804E-2</v>
      </c>
    </row>
    <row r="1180" spans="1:7" x14ac:dyDescent="0.35">
      <c r="A1180" s="5">
        <v>502546</v>
      </c>
      <c r="B1180" s="5" t="s">
        <v>2912</v>
      </c>
      <c r="C1180" s="5" t="s">
        <v>2913</v>
      </c>
      <c r="D1180" s="5" t="s">
        <v>2481</v>
      </c>
      <c r="E1180" s="5" t="s">
        <v>2914</v>
      </c>
      <c r="F1180" s="6">
        <v>45964</v>
      </c>
      <c r="G1180" s="7">
        <f t="shared" ca="1" si="18"/>
        <v>8.2191780821917804E-2</v>
      </c>
    </row>
    <row r="1181" spans="1:7" x14ac:dyDescent="0.35">
      <c r="A1181" s="5">
        <v>101034</v>
      </c>
      <c r="B1181" s="5" t="s">
        <v>2915</v>
      </c>
      <c r="C1181" s="5" t="s">
        <v>2916</v>
      </c>
      <c r="D1181" s="5" t="s">
        <v>2481</v>
      </c>
      <c r="E1181" s="5" t="s">
        <v>2917</v>
      </c>
      <c r="F1181" s="6">
        <v>45964</v>
      </c>
      <c r="G1181" s="7">
        <f t="shared" ca="1" si="18"/>
        <v>8.2191780821917804E-2</v>
      </c>
    </row>
    <row r="1182" spans="1:7" x14ac:dyDescent="0.35">
      <c r="A1182" s="5">
        <v>502544</v>
      </c>
      <c r="B1182" s="5" t="s">
        <v>2918</v>
      </c>
      <c r="C1182" s="5" t="s">
        <v>2648</v>
      </c>
      <c r="D1182" s="5" t="s">
        <v>2577</v>
      </c>
      <c r="E1182" s="5" t="s">
        <v>2919</v>
      </c>
      <c r="F1182" s="6">
        <v>45964</v>
      </c>
      <c r="G1182" s="7">
        <f t="shared" ca="1" si="18"/>
        <v>8.2191780821917804E-2</v>
      </c>
    </row>
    <row r="1183" spans="1:7" x14ac:dyDescent="0.35">
      <c r="A1183" s="5">
        <v>502537</v>
      </c>
      <c r="B1183" s="5" t="s">
        <v>2680</v>
      </c>
      <c r="C1183" s="5" t="s">
        <v>2681</v>
      </c>
      <c r="D1183" s="5" t="s">
        <v>2577</v>
      </c>
      <c r="E1183" s="5" t="s">
        <v>2682</v>
      </c>
      <c r="F1183" s="6">
        <v>45950</v>
      </c>
      <c r="G1183" s="7">
        <f t="shared" ca="1" si="18"/>
        <v>0.12054794520547946</v>
      </c>
    </row>
    <row r="1184" spans="1:7" x14ac:dyDescent="0.35">
      <c r="A1184" s="5">
        <v>502587</v>
      </c>
      <c r="B1184" s="5" t="s">
        <v>2920</v>
      </c>
      <c r="C1184" s="5" t="s">
        <v>2921</v>
      </c>
      <c r="D1184" s="5" t="s">
        <v>2577</v>
      </c>
      <c r="E1184" s="5" t="s">
        <v>2922</v>
      </c>
      <c r="F1184" s="6">
        <v>45992</v>
      </c>
      <c r="G1184" s="7">
        <f t="shared" ca="1" si="18"/>
        <v>5.4794520547945206E-3</v>
      </c>
    </row>
    <row r="1185" spans="1:7" x14ac:dyDescent="0.35">
      <c r="A1185" s="5">
        <v>502559</v>
      </c>
      <c r="B1185" s="5" t="s">
        <v>2923</v>
      </c>
      <c r="C1185" s="5" t="s">
        <v>2913</v>
      </c>
      <c r="D1185" s="5" t="s">
        <v>2577</v>
      </c>
      <c r="E1185" s="5" t="s">
        <v>2924</v>
      </c>
      <c r="F1185" s="6">
        <v>45964</v>
      </c>
      <c r="G1185" s="7">
        <f t="shared" ca="1" si="18"/>
        <v>8.2191780821917804E-2</v>
      </c>
    </row>
    <row r="1186" spans="1:7" x14ac:dyDescent="0.35">
      <c r="A1186" s="5">
        <v>500346</v>
      </c>
      <c r="B1186" s="5" t="s">
        <v>2925</v>
      </c>
      <c r="C1186" s="5" t="s">
        <v>2747</v>
      </c>
      <c r="D1186" s="5" t="s">
        <v>2577</v>
      </c>
      <c r="E1186" s="5" t="s">
        <v>2926</v>
      </c>
      <c r="F1186" s="6">
        <v>45964</v>
      </c>
      <c r="G1186" s="7">
        <f t="shared" ca="1" si="18"/>
        <v>8.2191780821917804E-2</v>
      </c>
    </row>
  </sheetData>
  <autoFilter ref="A2:G1186" xr:uid="{68F65DFA-2A4A-4256-B1C8-C594DBBE7F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Santana Guevara</dc:creator>
  <cp:lastModifiedBy>Emiliano Santana Guevara</cp:lastModifiedBy>
  <dcterms:created xsi:type="dcterms:W3CDTF">2025-12-02T21:48:45Z</dcterms:created>
  <dcterms:modified xsi:type="dcterms:W3CDTF">2025-12-03T16:58:11Z</dcterms:modified>
</cp:coreProperties>
</file>